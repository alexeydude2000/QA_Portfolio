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3"/>
  </bookViews>
  <sheets>
    <sheet name="Data" sheetId="1" state="hidden" r:id="rId3"/>
    <sheet name="Test Cases" sheetId="2" state="visible" r:id="rId4"/>
    <sheet name="Test Run" sheetId="3" state="visible" r:id="rId5"/>
    <sheet name="Bug Repo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<sst xmlns="http://schemas.openxmlformats.org/spreadsheetml/2006/main" count="155" uniqueCount="112">
  <si>
    <t xml:space="preserve">ResultOptions</t>
  </si>
  <si>
    <t xml:space="preserve">Pass</t>
  </si>
  <si>
    <t xml:space="preserve">Fail</t>
  </si>
  <si>
    <t xml:space="preserve">Blocked</t>
  </si>
  <si>
    <t xml:space="preserve">N/A</t>
  </si>
  <si>
    <t xml:space="preserve">SeverityOptions</t>
  </si>
  <si>
    <t xml:space="preserve">Critical</t>
  </si>
  <si>
    <t xml:space="preserve">Major</t>
  </si>
  <si>
    <t xml:space="preserve">Minor</t>
  </si>
  <si>
    <t xml:space="preserve">Trivial</t>
  </si>
  <si>
    <t xml:space="preserve">PriorityOptions</t>
  </si>
  <si>
    <t xml:space="preserve">High</t>
  </si>
  <si>
    <t xml:space="preserve">Medium</t>
  </si>
  <si>
    <t xml:space="preserve">Low</t>
  </si>
  <si>
    <t xml:space="preserve">StatusOptions</t>
  </si>
  <si>
    <t xml:space="preserve">Open</t>
  </si>
  <si>
    <t xml:space="preserve">In Progress</t>
  </si>
  <si>
    <t xml:space="preserve">Fixed</t>
  </si>
  <si>
    <t xml:space="preserve">Closed</t>
  </si>
  <si>
    <t xml:space="preserve">Rejected</t>
  </si>
  <si>
    <t xml:space="preserve">Duplicate</t>
  </si>
  <si>
    <t xml:space="preserve">Case ID
(Номер кейса)</t>
  </si>
  <si>
    <t xml:space="preserve">Title 
(Название кейса)</t>
  </si>
  <si>
    <t xml:space="preserve">Preconditions
(Предусловия)</t>
  </si>
  <si>
    <t xml:space="preserve">Steps (Шаги)</t>
  </si>
  <si>
    <t xml:space="preserve">Expected Result
(Ожидаемый результат)</t>
  </si>
  <si>
    <t xml:space="preserve">Postconditions
(Постусловия)</t>
  </si>
  <si>
    <t xml:space="preserve">Priority
(Приоритет)</t>
  </si>
  <si>
    <t xml:space="preserve">Case ID</t>
  </si>
  <si>
    <t xml:space="preserve">Title</t>
  </si>
  <si>
    <t xml:space="preserve">Preconditions</t>
  </si>
  <si>
    <t xml:space="preserve">Steps</t>
  </si>
  <si>
    <t xml:space="preserve">Expected Result</t>
  </si>
  <si>
    <t xml:space="preserve">Postconditions</t>
  </si>
  <si>
    <t xml:space="preserve">Priority</t>
  </si>
  <si>
    <t xml:space="preserve">TC-001</t>
  </si>
  <si>
    <t xml:space="preserve">Поиск: существующий товар</t>
  </si>
  <si>
    <t xml:space="preserve">Открыта главная страница сайта nn.kddmebel.ru</t>
  </si>
  <si>
    <t xml:space="preserve">1) Нажать на строку поиска</t>
  </si>
  <si>
    <t xml:space="preserve">Строка поиска активирована</t>
  </si>
  <si>
    <t xml:space="preserve">Страница с результатами поиска активна</t>
  </si>
  <si>
    <t xml:space="preserve">2) Ввести «шкаф»</t>
  </si>
  <si>
    <t xml:space="preserve">Текст отображается в поле поиска</t>
  </si>
  <si>
    <t xml:space="preserve">3) Нажать Enter или кнопку поиска</t>
  </si>
  <si>
    <t xml:space="preserve">Отображаются товары со словом «шкаф»</t>
  </si>
  <si>
    <t xml:space="preserve">TC-002</t>
  </si>
  <si>
    <t xml:space="preserve">Поиск: несуществующий товар</t>
  </si>
  <si>
    <t xml:space="preserve">Страница с сообщением об отсутствии результатов</t>
  </si>
  <si>
    <t xml:space="preserve">2) Ввести «асдфг123йцу»</t>
  </si>
  <si>
    <t xml:space="preserve">Появляется сообщение «Сожалеем, но ничего не найдено.»</t>
  </si>
  <si>
    <t xml:space="preserve">TC-003</t>
  </si>
  <si>
    <t xml:space="preserve">Поиск: пустой запрос</t>
  </si>
  <si>
    <t xml:space="preserve">Пользователь остаётся на главной странице</t>
  </si>
  <si>
    <t xml:space="preserve">2) Оставить поле пустым</t>
  </si>
  <si>
    <t xml:space="preserve">Поле пустое</t>
  </si>
  <si>
    <t xml:space="preserve">Появляется подсказка «Введите поисковый запрос и нажмите кнопку "Найти".»</t>
  </si>
  <si>
    <t xml:space="preserve">TC-004</t>
  </si>
  <si>
    <t xml:space="preserve">Корзина: добавление товара из каталога</t>
  </si>
  <si>
    <t xml:space="preserve">1) Навести курсор на любой товар</t>
  </si>
  <si>
    <t xml:space="preserve">Появляется кнопка «В корзину»</t>
  </si>
  <si>
    <t xml:space="preserve">Товар остаётся в корзине</t>
  </si>
  <si>
    <t xml:space="preserve">2) Нажать кнопку «В корзину»</t>
  </si>
  <si>
    <t xml:space="preserve">Появляется уведомление «Товар добавлен»</t>
  </si>
  <si>
    <t xml:space="preserve">3) Открыть корзину</t>
  </si>
  <si>
    <t xml:space="preserve">Иконка корзины обновляется (+1), товар отображается в корзине</t>
  </si>
  <si>
    <t xml:space="preserve">TC-006</t>
  </si>
  <si>
    <t xml:space="preserve">Главная страница: отображение раздела «Хит»</t>
  </si>
  <si>
    <t xml:space="preserve">1) Прокрутить страницу до раздела «Хит»</t>
  </si>
  <si>
    <t xml:space="preserve">Раздел «Хит» отображается на странице</t>
  </si>
  <si>
    <t xml:space="preserve">Пользователь видит раздел с товарами</t>
  </si>
  <si>
    <t xml:space="preserve">2) Проверить наличие товаров в разделе</t>
  </si>
  <si>
    <t xml:space="preserve">В разделе отображается хотя бы один товар</t>
  </si>
  <si>
    <t xml:space="preserve">В разделе не отображается ни один товар</t>
  </si>
  <si>
    <t xml:space="preserve">3) Нажать на любой товар из раздела «Хит»</t>
  </si>
  <si>
    <t xml:space="preserve">Открывается карточка товара</t>
  </si>
  <si>
    <t xml:space="preserve">Товар отсутствует</t>
  </si>
  <si>
    <t xml:space="preserve">Session ID</t>
  </si>
  <si>
    <t xml:space="preserve">Date</t>
  </si>
  <si>
    <t xml:space="preserve">Session Name</t>
  </si>
  <si>
    <t xml:space="preserve">Tester</t>
  </si>
  <si>
    <t xml:space="preserve">Result</t>
  </si>
  <si>
    <t xml:space="preserve">Comment</t>
  </si>
  <si>
    <t xml:space="preserve">Bug ID</t>
  </si>
  <si>
    <t xml:space="preserve">TR-001</t>
  </si>
  <si>
    <t xml:space="preserve">01.06.2026</t>
  </si>
  <si>
    <t xml:space="preserve">Smoke: поиск</t>
  </si>
  <si>
    <t xml:space="preserve">Алексей</t>
  </si>
  <si>
    <t xml:space="preserve">Поиск по слову «шкаф» работает, товары отображаются</t>
  </si>
  <si>
    <t xml:space="preserve">Несуществующий запрос обрабатывается корректно, сообщение появилось</t>
  </si>
  <si>
    <t xml:space="preserve">Пустой запрос не выполняется, подсказка появилась</t>
  </si>
  <si>
    <t xml:space="preserve">Smoke: Корзина</t>
  </si>
  <si>
    <t xml:space="preserve">Товар добавлен в корзину, счётчик +1</t>
  </si>
  <si>
    <r>
      <rPr>
        <sz val="12"/>
        <color theme="1"/>
        <rFont val="Arial"/>
        <family val="2"/>
        <charset val="1"/>
      </rPr>
      <t xml:space="preserve">Smoke: Главная раздел </t>
    </r>
    <r>
      <rPr>
        <sz val="12"/>
        <color theme="1"/>
        <rFont val="Arial"/>
        <family val="2"/>
      </rPr>
      <t xml:space="preserve">«Хит»</t>
    </r>
  </si>
  <si>
    <t xml:space="preserve">Раздел «Хит» пуст, товары отсутствуют</t>
  </si>
  <si>
    <t xml:space="preserve">Bug ID
(Номер бага)</t>
  </si>
  <si>
    <t xml:space="preserve">Related Case ID
(Связанный кейс)</t>
  </si>
  <si>
    <t xml:space="preserve">Session ID
(Номер сессии)</t>
  </si>
  <si>
    <t xml:space="preserve">Error Step
(Шаг с ошибкой)</t>
  </si>
  <si>
    <t xml:space="preserve">Actual Result 
(Актуальный результат)</t>
  </si>
  <si>
    <t xml:space="preserve">Severity
(Серъезность)</t>
  </si>
  <si>
    <t xml:space="preserve">Environment
(Окружение)</t>
  </si>
  <si>
    <t xml:space="preserve">Attachments/Links
(Скриншоты/Ссылки)</t>
  </si>
  <si>
    <t xml:space="preserve">Date Reported
(Дата обнаружения)</t>
  </si>
  <si>
    <t xml:space="preserve">BR-001</t>
  </si>
  <si>
    <t xml:space="preserve">Раздел «Хит» на главной странице пуст</t>
  </si>
  <si>
    <t xml:space="preserve">Открыта главная страница nn.kddmebel.ru</t>
  </si>
  <si>
    <t xml:space="preserve">1) Прокрутить до раздела «Хит»</t>
  </si>
  <si>
    <t xml:space="preserve">В разделе отображается хотя бы один товар. При нажатии на товар открывается карточка</t>
  </si>
  <si>
    <t xml:space="preserve">Раздел «Хит» пуст, товары отсутствуют. Нажать не на что</t>
  </si>
  <si>
    <t xml:space="preserve">Google Chrome Version 148.0.7778.215 (Official Build) (64-bit) / Linux</t>
  </si>
  <si>
    <t xml:space="preserve">screenshot_hit_empty.png</t>
  </si>
  <si>
    <t xml:space="preserve">2) Проверить наличие товаров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</si>
</sst>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</font>
    <font>
      <b val="true"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B2" s="1" t="s">
        <v>2</v>
      </c>
    </row>
    <row r="3" customFormat="false" ht="13.8" hidden="false" customHeight="false" outlineLevel="0" collapsed="false">
      <c r="B3" s="1" t="s">
        <v>3</v>
      </c>
    </row>
    <row r="4" customFormat="false" ht="13.8" hidden="false" customHeight="false" outlineLevel="0" collapsed="false">
      <c r="B4" s="1" t="s">
        <v>4</v>
      </c>
    </row>
    <row r="5" customFormat="false" ht="13.8" hidden="false" customHeight="false" outlineLevel="0" collapsed="false"/>
    <row r="6" customFormat="false" ht="13.8" hidden="false" customHeight="false" outlineLevel="0" collapsed="false">
      <c r="A6" s="1" t="s">
        <v>5</v>
      </c>
      <c r="B6" s="1" t="s">
        <v>6</v>
      </c>
    </row>
    <row r="7" customFormat="false" ht="13.8" hidden="false" customHeight="false" outlineLevel="0" collapsed="false">
      <c r="B7" s="1" t="s">
        <v>7</v>
      </c>
    </row>
    <row r="8" customFormat="false" ht="13.8" hidden="false" customHeight="false" outlineLevel="0" collapsed="false">
      <c r="B8" s="1" t="s">
        <v>8</v>
      </c>
    </row>
    <row r="9" customFormat="false" ht="13.8" hidden="false" customHeight="false" outlineLevel="0" collapsed="false">
      <c r="B9" s="1" t="s">
        <v>9</v>
      </c>
    </row>
    <row r="10" customFormat="false" ht="13.8" hidden="false" customHeight="false" outlineLevel="0" collapsed="false"/>
    <row r="11" customFormat="false" ht="13.8" hidden="false" customHeight="false" outlineLevel="0" collapsed="false">
      <c r="A11" s="1" t="s">
        <v>10</v>
      </c>
      <c r="B11" s="1" t="s">
        <v>11</v>
      </c>
    </row>
    <row r="12" customFormat="false" ht="13.8" hidden="false" customHeight="false" outlineLevel="0" collapsed="false">
      <c r="B12" s="1" t="s">
        <v>12</v>
      </c>
    </row>
    <row r="13" customFormat="false" ht="13.8" hidden="false" customHeight="false" outlineLevel="0" collapsed="false">
      <c r="B13" s="1" t="s">
        <v>13</v>
      </c>
    </row>
    <row r="14" customFormat="false" ht="13.8" hidden="false" customHeight="false" outlineLevel="0" collapsed="false"/>
    <row r="15" customFormat="false" ht="13.8" hidden="false" customHeight="false" outlineLevel="0" collapsed="false">
      <c r="A15" s="1" t="s">
        <v>14</v>
      </c>
      <c r="B15" s="1" t="s">
        <v>15</v>
      </c>
    </row>
    <row r="16" customFormat="false" ht="13.8" hidden="false" customHeight="false" outlineLevel="0" collapsed="false">
      <c r="B16" s="1" t="s">
        <v>16</v>
      </c>
    </row>
    <row r="17" customFormat="false" ht="13.8" hidden="false" customHeight="false" outlineLevel="0" collapsed="false">
      <c r="B17" s="1" t="s">
        <v>17</v>
      </c>
    </row>
    <row r="18" customFormat="false" ht="13.8" hidden="false" customHeight="false" outlineLevel="0" collapsed="false">
      <c r="B18" s="1" t="s">
        <v>18</v>
      </c>
    </row>
    <row r="19" customFormat="false" ht="13.8" hidden="false" customHeight="false" outlineLevel="0" collapsed="false">
      <c r="B19" s="1" t="s">
        <v>19</v>
      </c>
    </row>
    <row r="20" customFormat="false" ht="13.8" hidden="false" customHeight="false" outlineLevel="0" collapsed="false">
      <c r="B20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2" activeCellId="0" sqref="D22"/>
    </sheetView>
  </sheetViews>
  <sheetFormatPr defaultColWidth="8.4765625" defaultRowHeight="15" zeroHeight="false" outlineLevelRow="0" outlineLevelCol="0"/>
  <cols>
    <col collapsed="false" customWidth="true" hidden="false" outlineLevel="0" max="1" min="1" style="2" width="15.86"/>
    <col collapsed="false" customWidth="true" hidden="false" outlineLevel="0" max="3" min="2" style="2" width="28.57"/>
    <col collapsed="false" customWidth="true" hidden="false" outlineLevel="0" max="4" min="4" style="2" width="43.43"/>
    <col collapsed="false" customWidth="true" hidden="false" outlineLevel="0" max="5" min="5" style="2" width="42.57"/>
    <col collapsed="false" customWidth="true" hidden="false" outlineLevel="0" max="6" min="6" style="2" width="38.57"/>
    <col collapsed="false" customWidth="true" hidden="false" outlineLevel="0" max="7" min="7" style="2" width="14"/>
    <col collapsed="false" customWidth="false" hidden="false" outlineLevel="0" max="16384" min="8" style="3" width="8.48"/>
  </cols>
  <sheetData>
    <row r="1" customFormat="false" ht="33.75" hidden="false" customHeight="true" outlineLevel="0" collapsed="false">
      <c r="A1" s="4" t="s">
        <v>21</v>
      </c>
      <c r="B1" s="4" t="s">
        <v>22</v>
      </c>
      <c r="C1" s="5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customFormat="false" ht="15" hidden="false" customHeight="false" outlineLevel="0" collapsed="false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</row>
    <row r="3" customFormat="false" ht="27.7" hidden="false" customHeight="false" outlineLevel="0" collapsed="false">
      <c r="A3" s="8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10" t="s">
        <v>11</v>
      </c>
    </row>
    <row r="4" s="3" customFormat="true" ht="15" hidden="false" customHeight="false" outlineLevel="0" collapsed="false">
      <c r="A4" s="11"/>
      <c r="D4" s="3" t="s">
        <v>41</v>
      </c>
      <c r="E4" s="3" t="s">
        <v>42</v>
      </c>
      <c r="G4" s="12"/>
    </row>
    <row r="5" customFormat="false" ht="15" hidden="false" customHeight="false" outlineLevel="0" collapsed="false">
      <c r="A5" s="13"/>
      <c r="B5" s="14"/>
      <c r="C5" s="14"/>
      <c r="D5" s="14" t="s">
        <v>43</v>
      </c>
      <c r="E5" s="14" t="s">
        <v>44</v>
      </c>
      <c r="F5" s="14"/>
      <c r="G5" s="15"/>
    </row>
    <row r="6" customFormat="false" ht="27.7" hidden="false" customHeight="false" outlineLevel="0" collapsed="false">
      <c r="A6" s="8" t="s">
        <v>45</v>
      </c>
      <c r="B6" s="9" t="s">
        <v>46</v>
      </c>
      <c r="C6" s="9" t="s">
        <v>37</v>
      </c>
      <c r="D6" s="9" t="s">
        <v>38</v>
      </c>
      <c r="E6" s="9" t="s">
        <v>39</v>
      </c>
      <c r="F6" s="9" t="s">
        <v>47</v>
      </c>
      <c r="G6" s="10" t="s">
        <v>12</v>
      </c>
    </row>
    <row r="7" s="3" customFormat="true" ht="15" hidden="false" customHeight="false" outlineLevel="0" collapsed="false">
      <c r="A7" s="11"/>
      <c r="D7" s="3" t="s">
        <v>48</v>
      </c>
      <c r="E7" s="3" t="s">
        <v>42</v>
      </c>
      <c r="G7" s="12"/>
    </row>
    <row r="8" customFormat="false" ht="27.7" hidden="false" customHeight="false" outlineLevel="0" collapsed="false">
      <c r="A8" s="13"/>
      <c r="B8" s="14"/>
      <c r="C8" s="14"/>
      <c r="D8" s="14" t="s">
        <v>43</v>
      </c>
      <c r="E8" s="14" t="s">
        <v>49</v>
      </c>
      <c r="F8" s="14"/>
      <c r="G8" s="15"/>
    </row>
    <row r="9" customFormat="false" ht="27.7" hidden="false" customHeight="false" outlineLevel="0" collapsed="false">
      <c r="A9" s="8" t="s">
        <v>50</v>
      </c>
      <c r="B9" s="9" t="s">
        <v>51</v>
      </c>
      <c r="C9" s="9" t="s">
        <v>37</v>
      </c>
      <c r="D9" s="9" t="s">
        <v>38</v>
      </c>
      <c r="E9" s="9" t="s">
        <v>39</v>
      </c>
      <c r="F9" s="9" t="s">
        <v>52</v>
      </c>
      <c r="G9" s="10" t="s">
        <v>12</v>
      </c>
    </row>
    <row r="10" s="3" customFormat="true" ht="15" hidden="false" customHeight="false" outlineLevel="0" collapsed="false">
      <c r="A10" s="11"/>
      <c r="D10" s="3" t="s">
        <v>53</v>
      </c>
      <c r="E10" s="3" t="s">
        <v>54</v>
      </c>
      <c r="G10" s="12"/>
    </row>
    <row r="11" customFormat="false" ht="27.7" hidden="false" customHeight="false" outlineLevel="0" collapsed="false">
      <c r="A11" s="13"/>
      <c r="B11" s="14"/>
      <c r="C11" s="14"/>
      <c r="D11" s="14" t="s">
        <v>43</v>
      </c>
      <c r="E11" s="14" t="s">
        <v>55</v>
      </c>
      <c r="F11" s="14"/>
      <c r="G11" s="15"/>
    </row>
    <row r="12" customFormat="false" ht="27.7" hidden="false" customHeight="false" outlineLevel="0" collapsed="false">
      <c r="A12" s="8" t="s">
        <v>56</v>
      </c>
      <c r="B12" s="9" t="s">
        <v>57</v>
      </c>
      <c r="C12" s="9" t="s">
        <v>37</v>
      </c>
      <c r="D12" s="9" t="s">
        <v>58</v>
      </c>
      <c r="E12" s="9" t="s">
        <v>59</v>
      </c>
      <c r="F12" s="9" t="s">
        <v>60</v>
      </c>
      <c r="G12" s="10" t="s">
        <v>11</v>
      </c>
    </row>
    <row r="13" s="3" customFormat="true" ht="15" hidden="false" customHeight="false" outlineLevel="0" collapsed="false">
      <c r="A13" s="11"/>
      <c r="D13" s="3" t="s">
        <v>61</v>
      </c>
      <c r="E13" s="3" t="s">
        <v>62</v>
      </c>
      <c r="G13" s="12"/>
    </row>
    <row r="14" customFormat="false" ht="27.7" hidden="false" customHeight="false" outlineLevel="0" collapsed="false">
      <c r="A14" s="13"/>
      <c r="B14" s="14"/>
      <c r="C14" s="14"/>
      <c r="D14" s="14" t="s">
        <v>63</v>
      </c>
      <c r="E14" s="14" t="s">
        <v>64</v>
      </c>
      <c r="F14" s="14"/>
      <c r="G14" s="15"/>
    </row>
    <row r="15" customFormat="false" ht="27.7" hidden="false" customHeight="false" outlineLevel="0" collapsed="false">
      <c r="A15" s="8" t="s">
        <v>65</v>
      </c>
      <c r="B15" s="9" t="s">
        <v>66</v>
      </c>
      <c r="C15" s="9" t="s">
        <v>37</v>
      </c>
      <c r="D15" s="9" t="s">
        <v>67</v>
      </c>
      <c r="E15" s="9" t="s">
        <v>68</v>
      </c>
      <c r="F15" s="9" t="s">
        <v>69</v>
      </c>
      <c r="G15" s="10" t="s">
        <v>12</v>
      </c>
    </row>
    <row r="16" s="3" customFormat="true" ht="27.7" hidden="false" customHeight="false" outlineLevel="0" collapsed="false">
      <c r="A16" s="11"/>
      <c r="D16" s="3" t="s">
        <v>70</v>
      </c>
      <c r="E16" s="3" t="s">
        <v>71</v>
      </c>
      <c r="F16" s="3" t="s">
        <v>72</v>
      </c>
      <c r="G16" s="12"/>
    </row>
    <row r="17" customFormat="false" ht="15" hidden="false" customHeight="false" outlineLevel="0" collapsed="false">
      <c r="A17" s="13"/>
      <c r="B17" s="14"/>
      <c r="C17" s="14"/>
      <c r="D17" s="14" t="s">
        <v>73</v>
      </c>
      <c r="E17" s="14" t="s">
        <v>74</v>
      </c>
      <c r="F17" s="14" t="s">
        <v>75</v>
      </c>
      <c r="G1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4765625" defaultRowHeight="15" zeroHeight="false" outlineLevelRow="0" outlineLevelCol="0"/>
  <cols>
    <col collapsed="false" customWidth="true" hidden="false" outlineLevel="0" max="1" min="1" style="2" width="15.72"/>
    <col collapsed="false" customWidth="true" hidden="false" outlineLevel="0" max="2" min="2" style="2" width="14"/>
    <col collapsed="false" customWidth="true" hidden="false" outlineLevel="0" max="3" min="3" style="2" width="32.48"/>
    <col collapsed="false" customWidth="true" hidden="false" outlineLevel="0" max="4" min="4" style="2" width="14.23"/>
    <col collapsed="false" customWidth="true" hidden="false" outlineLevel="0" max="5" min="5" style="2" width="15.43"/>
    <col collapsed="false" customWidth="true" hidden="false" outlineLevel="0" max="6" min="6" style="2" width="16"/>
    <col collapsed="false" customWidth="true" hidden="false" outlineLevel="0" max="7" min="7" style="2" width="41.26"/>
    <col collapsed="false" customWidth="true" hidden="false" outlineLevel="0" max="8" min="8" style="2" width="16"/>
    <col collapsed="false" customWidth="false" hidden="false" outlineLevel="0" max="16384" min="9" style="2" width="8.48"/>
  </cols>
  <sheetData>
    <row r="1" customFormat="false" ht="33.75" hidden="false" customHeight="true" outlineLevel="0" collapsed="false">
      <c r="A1" s="7" t="s">
        <v>76</v>
      </c>
      <c r="B1" s="7" t="s">
        <v>77</v>
      </c>
      <c r="C1" s="7" t="s">
        <v>78</v>
      </c>
      <c r="D1" s="7" t="s">
        <v>79</v>
      </c>
      <c r="E1" s="7" t="s">
        <v>28</v>
      </c>
      <c r="F1" s="7" t="s">
        <v>80</v>
      </c>
      <c r="G1" s="7" t="s">
        <v>81</v>
      </c>
      <c r="H1" s="7" t="s">
        <v>82</v>
      </c>
    </row>
    <row r="2" customFormat="false" ht="27.7" hidden="false" customHeight="false" outlineLevel="0" collapsed="false">
      <c r="A2" s="16" t="s">
        <v>83</v>
      </c>
      <c r="B2" s="17" t="s">
        <v>84</v>
      </c>
      <c r="C2" s="17" t="s">
        <v>85</v>
      </c>
      <c r="D2" s="17" t="s">
        <v>86</v>
      </c>
      <c r="E2" s="17" t="str">
        <f aca="false">HYPERLINK("#'Test Cases'.A3", "TC-001")</f>
        <v>TC-001</v>
      </c>
      <c r="F2" s="18" t="s">
        <v>1</v>
      </c>
      <c r="G2" s="17" t="s">
        <v>87</v>
      </c>
      <c r="H2" s="19"/>
      <c r="I2" s="3"/>
    </row>
    <row r="3" customFormat="false" ht="27.7" hidden="false" customHeight="false" outlineLevel="0" collapsed="false">
      <c r="A3" s="16" t="s">
        <v>83</v>
      </c>
      <c r="B3" s="17" t="s">
        <v>84</v>
      </c>
      <c r="C3" s="17" t="s">
        <v>85</v>
      </c>
      <c r="D3" s="17" t="s">
        <v>86</v>
      </c>
      <c r="E3" s="17" t="str">
        <f aca="false">HYPERLINK("#'Test Cases'.A6", "TC-002")</f>
        <v>TC-002</v>
      </c>
      <c r="F3" s="18" t="s">
        <v>1</v>
      </c>
      <c r="G3" s="17" t="s">
        <v>88</v>
      </c>
      <c r="H3" s="19"/>
      <c r="I3" s="3"/>
    </row>
    <row r="4" customFormat="false" ht="27.7" hidden="false" customHeight="false" outlineLevel="0" collapsed="false">
      <c r="A4" s="16" t="s">
        <v>83</v>
      </c>
      <c r="B4" s="17" t="s">
        <v>84</v>
      </c>
      <c r="C4" s="17" t="s">
        <v>85</v>
      </c>
      <c r="D4" s="17" t="s">
        <v>86</v>
      </c>
      <c r="E4" s="17" t="str">
        <f aca="false">HYPERLINK("#'Test Cases'.A9", "TC-003")</f>
        <v>TC-003</v>
      </c>
      <c r="F4" s="18" t="s">
        <v>1</v>
      </c>
      <c r="G4" s="17" t="s">
        <v>89</v>
      </c>
      <c r="H4" s="19"/>
      <c r="I4" s="3"/>
    </row>
    <row r="5" customFormat="false" ht="15" hidden="false" customHeight="false" outlineLevel="0" collapsed="false">
      <c r="A5" s="16" t="s">
        <v>83</v>
      </c>
      <c r="B5" s="17" t="s">
        <v>84</v>
      </c>
      <c r="C5" s="17" t="s">
        <v>90</v>
      </c>
      <c r="D5" s="17" t="s">
        <v>86</v>
      </c>
      <c r="E5" s="17" t="str">
        <f aca="false">HYPERLINK("#'Test Cases'.A12", "TC-004")</f>
        <v>TC-004</v>
      </c>
      <c r="F5" s="18" t="s">
        <v>1</v>
      </c>
      <c r="G5" s="17" t="s">
        <v>91</v>
      </c>
      <c r="H5" s="19"/>
      <c r="I5" s="3"/>
    </row>
    <row r="6" customFormat="false" ht="15" hidden="false" customHeight="false" outlineLevel="0" collapsed="false">
      <c r="A6" s="16" t="s">
        <v>83</v>
      </c>
      <c r="B6" s="17" t="s">
        <v>84</v>
      </c>
      <c r="C6" s="17" t="s">
        <v>92</v>
      </c>
      <c r="D6" s="17" t="s">
        <v>86</v>
      </c>
      <c r="E6" s="17" t="str">
        <f aca="false">HYPERLINK("#'Test Cases'.A15", "TC-006")</f>
        <v>TC-006</v>
      </c>
      <c r="F6" s="20" t="s">
        <v>2</v>
      </c>
      <c r="G6" s="17" t="s">
        <v>93</v>
      </c>
      <c r="H6" s="19" t="str">
        <f aca="false">HYPERLINK("#'Bug Reports'.A2", "BR-001")</f>
        <v>BR-001</v>
      </c>
      <c r="I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</sheetData>
  <dataValidations count="1">
    <dataValidation allowBlank="true" errorStyle="stop" operator="equal" showDropDown="false" showErrorMessage="true" showInputMessage="true" sqref="F8:F990" type="list">
      <formula1>resultoptions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4765625" defaultRowHeight="15" zeroHeight="false" outlineLevelRow="0" outlineLevelCol="0"/>
  <cols>
    <col collapsed="false" customWidth="true" hidden="false" outlineLevel="0" max="1" min="1" style="21" width="14.29"/>
    <col collapsed="false" customWidth="true" hidden="false" outlineLevel="0" max="2" min="2" style="21" width="28.57"/>
    <col collapsed="false" customWidth="true" hidden="false" outlineLevel="0" max="3" min="3" style="21" width="19"/>
    <col collapsed="false" customWidth="true" hidden="false" outlineLevel="0" max="4" min="4" style="21" width="16.57"/>
    <col collapsed="false" customWidth="true" hidden="false" outlineLevel="0" max="6" min="5" style="21" width="26"/>
    <col collapsed="false" customWidth="true" hidden="false" outlineLevel="0" max="7" min="7" style="21" width="32.72"/>
    <col collapsed="false" customWidth="true" hidden="false" outlineLevel="0" max="8" min="8" style="21" width="30.29"/>
    <col collapsed="false" customWidth="true" hidden="false" outlineLevel="0" max="10" min="9" style="21" width="14.29"/>
    <col collapsed="false" customWidth="true" hidden="false" outlineLevel="0" max="11" min="11" style="21" width="22"/>
    <col collapsed="false" customWidth="true" hidden="false" outlineLevel="0" max="12" min="12" style="21" width="24.29"/>
    <col collapsed="false" customWidth="true" hidden="false" outlineLevel="0" max="13" min="13" style="21" width="21.86"/>
    <col collapsed="false" customWidth="false" hidden="false" outlineLevel="0" max="16384" min="14" style="22" width="8.48"/>
  </cols>
  <sheetData>
    <row r="1" customFormat="false" ht="33.75" hidden="false" customHeight="true" outlineLevel="0" collapsed="false">
      <c r="A1" s="23" t="s">
        <v>94</v>
      </c>
      <c r="B1" s="23" t="s">
        <v>22</v>
      </c>
      <c r="C1" s="23" t="s">
        <v>95</v>
      </c>
      <c r="D1" s="24" t="s">
        <v>96</v>
      </c>
      <c r="E1" s="24" t="s">
        <v>23</v>
      </c>
      <c r="F1" s="24" t="s">
        <v>97</v>
      </c>
      <c r="G1" s="24" t="s">
        <v>25</v>
      </c>
      <c r="H1" s="23" t="s">
        <v>98</v>
      </c>
      <c r="I1" s="23" t="s">
        <v>99</v>
      </c>
      <c r="J1" s="23" t="s">
        <v>27</v>
      </c>
      <c r="K1" s="23" t="s">
        <v>100</v>
      </c>
      <c r="L1" s="24" t="s">
        <v>101</v>
      </c>
      <c r="M1" s="24" t="s">
        <v>102</v>
      </c>
    </row>
    <row r="2" customFormat="false" ht="40.95" hidden="false" customHeight="false" outlineLevel="0" collapsed="false">
      <c r="A2" s="8" t="s">
        <v>103</v>
      </c>
      <c r="B2" s="9" t="s">
        <v>104</v>
      </c>
      <c r="C2" s="9" t="str">
        <f aca="false">HYPERLINK("#'Test Cases'.A15", "TC-006")</f>
        <v>TC-006</v>
      </c>
      <c r="D2" s="9" t="str">
        <f aca="false">HYPERLINK("#'Test Run'.A6", "TR-001")</f>
        <v>TR-001</v>
      </c>
      <c r="E2" s="9" t="s">
        <v>105</v>
      </c>
      <c r="F2" s="9" t="s">
        <v>106</v>
      </c>
      <c r="G2" s="9" t="s">
        <v>107</v>
      </c>
      <c r="H2" s="9" t="s">
        <v>108</v>
      </c>
      <c r="I2" s="9" t="s">
        <v>8</v>
      </c>
      <c r="J2" s="9" t="s">
        <v>12</v>
      </c>
      <c r="K2" s="9" t="s">
        <v>109</v>
      </c>
      <c r="L2" s="9" t="s">
        <v>110</v>
      </c>
      <c r="M2" s="10" t="s">
        <v>84</v>
      </c>
    </row>
    <row r="3" customFormat="false" ht="27.7" hidden="false" customHeight="false" outlineLevel="0" collapsed="false">
      <c r="A3" s="13"/>
      <c r="B3" s="14"/>
      <c r="C3" s="14"/>
      <c r="D3" s="14"/>
      <c r="E3" s="14"/>
      <c r="F3" s="14" t="s">
        <v>111</v>
      </c>
      <c r="G3" s="14"/>
      <c r="H3" s="14"/>
      <c r="I3" s="14"/>
      <c r="J3" s="14"/>
      <c r="K3" s="14"/>
      <c r="L3" s="14"/>
      <c r="M3" s="15"/>
    </row>
    <row r="4" customFormat="false" ht="13.8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</sheetData>
  <dataValidations count="2">
    <dataValidation allowBlank="true" errorStyle="stop" operator="equal" showDropDown="false" showErrorMessage="true" showInputMessage="true" sqref="I5:I993" type="list">
      <formula1>severityoptions</formula1>
      <formula2>0</formula2>
    </dataValidation>
    <dataValidation allowBlank="true" errorStyle="stop" operator="equal" showDropDown="false" showErrorMessage="true" showInputMessage="true" sqref="J5:J993" type="list">
      <formula1>priorityoptions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2025-10-01T10:01:41Z</dcterms:created>
  <dc:creator>openpyxl</dc:creator>
  <dc:description/>
  <dc:language>en-US</dc:language>
  <cp:lastModifiedBy/>
  <dcterms:modified xsi:type="dcterms:W3CDTF">2026-06-01T20:09:41Z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