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1" activeTab="3"/>
  </bookViews>
  <sheets>
    <sheet name="Data" sheetId="1" state="hidden" r:id="rId3"/>
    <sheet name="Test Cases" sheetId="2" state="visible" r:id="rId4"/>
    <sheet name="Test Run" sheetId="3" state="visible" r:id="rId5"/>
    <sheet name="Bug Repor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<sst xmlns="http://schemas.openxmlformats.org/spreadsheetml/2006/main" count="347" uniqueCount="193">
  <si>
    <t xml:space="preserve">ResultOptions</t>
  </si>
  <si>
    <t xml:space="preserve">Pass</t>
  </si>
  <si>
    <t xml:space="preserve">Fail</t>
  </si>
  <si>
    <t xml:space="preserve">Blocked</t>
  </si>
  <si>
    <t xml:space="preserve">N/A</t>
  </si>
  <si>
    <t xml:space="preserve">SeverityOptions</t>
  </si>
  <si>
    <t xml:space="preserve">Critical</t>
  </si>
  <si>
    <t xml:space="preserve">Major</t>
  </si>
  <si>
    <t xml:space="preserve">Minor</t>
  </si>
  <si>
    <t xml:space="preserve">Trivial</t>
  </si>
  <si>
    <t xml:space="preserve">PriorityOptions</t>
  </si>
  <si>
    <t xml:space="preserve">High</t>
  </si>
  <si>
    <t xml:space="preserve">Medium</t>
  </si>
  <si>
    <t xml:space="preserve">Low</t>
  </si>
  <si>
    <t xml:space="preserve">StatusOptions</t>
  </si>
  <si>
    <t xml:space="preserve">Open</t>
  </si>
  <si>
    <t xml:space="preserve">In Progress</t>
  </si>
  <si>
    <t xml:space="preserve">Fixed</t>
  </si>
  <si>
    <t xml:space="preserve">Closed</t>
  </si>
  <si>
    <t xml:space="preserve">Rejected</t>
  </si>
  <si>
    <t xml:space="preserve">Duplicate</t>
  </si>
  <si>
    <t xml:space="preserve">Case ID
(Номер кейса)</t>
  </si>
  <si>
    <t xml:space="preserve">Title 
(Название кейса)</t>
  </si>
  <si>
    <t xml:space="preserve">Preconditions
(Предусловия)</t>
  </si>
  <si>
    <t xml:space="preserve">Steps (Шаги)</t>
  </si>
  <si>
    <t xml:space="preserve">Expected Result
(Ожидаемый результат)</t>
  </si>
  <si>
    <t xml:space="preserve">Postconditions
(Постусловия)</t>
  </si>
  <si>
    <t xml:space="preserve">Priority
(Приоритет)</t>
  </si>
  <si>
    <t xml:space="preserve">TC-001</t>
  </si>
  <si>
    <t xml:space="preserve">Шапка сайта: ховер на логотип</t>
  </si>
  <si>
    <t xml:space="preserve">Открыта любая страница сайта weblodj.ru</t>
  </si>
  <si>
    <t xml:space="preserve">1) Переместить курсор мыши в левый верхний угол экрана</t>
  </si>
  <si>
    <t xml:space="preserve">1) Курсор мыши меняется со стандартной стрелки на указатель (рука с пальцем)</t>
  </si>
  <si>
    <t xml:space="preserve">Эффект пропадает при уводе мыши с логотипа</t>
  </si>
  <si>
    <t xml:space="preserve">2) Навести курсор на изображение логотипа</t>
  </si>
  <si>
    <t xml:space="preserve">2) Появляется визуальный эффект (изменение цвета, тень, анимация)</t>
  </si>
  <si>
    <t xml:space="preserve">3) Зафиксировать курсор на логотипе на 1-2 секунды</t>
  </si>
  <si>
    <t xml:space="preserve">3) При уводе мыши с логотипа эффект пропадает, курсор возвращается к стандартной стрелке</t>
  </si>
  <si>
    <t xml:space="preserve">TC-002</t>
  </si>
  <si>
    <t xml:space="preserve">Шапка сайта: клик по логотипу</t>
  </si>
  <si>
    <t xml:space="preserve">1) Навести курсор на логотип в левом верхнем углу</t>
  </si>
  <si>
    <t xml:space="preserve">1) После клика открывается главная страница сайта</t>
  </si>
  <si>
    <t xml:space="preserve">Пользователь находится на главной странице</t>
  </si>
  <si>
    <t xml:space="preserve">2) Выполнить один клик левой кнопкой мыши</t>
  </si>
  <si>
    <t xml:space="preserve">2) URL страницы становится https://weblodj.ru/</t>
  </si>
  <si>
    <t xml:space="preserve">TC-003</t>
  </si>
  <si>
    <t xml:space="preserve">Шапка сайта: ховер на «Главная»</t>
  </si>
  <si>
    <t xml:space="preserve">Открыта главная страница weblodj.ru</t>
  </si>
  <si>
    <t xml:space="preserve">1) Найти в шапке сайта пункт меню с текстом «Главная»</t>
  </si>
  <si>
    <t xml:space="preserve">1) При наведении курсора на пункт «Главная» появляется визуальный эффект</t>
  </si>
  <si>
    <t xml:space="preserve">Эффект пропадает при уводе мыши с пункта меню</t>
  </si>
  <si>
    <t xml:space="preserve">2) Навести курсор мыши на этот пункт</t>
  </si>
  <si>
    <t xml:space="preserve">2) При уводе мыши с пункта меню эффект пропадает</t>
  </si>
  <si>
    <t xml:space="preserve">3) Зафиксировать курсор на 1-2 секунды</t>
  </si>
  <si>
    <t xml:space="preserve">TC-004</t>
  </si>
  <si>
    <t xml:space="preserve">Шапка сайта: клик «Главная» → редирект</t>
  </si>
  <si>
    <t xml:space="preserve">Открыта любая страница сайта, кроме главной</t>
  </si>
  <si>
    <t xml:space="preserve">1) После клика происходит переход на главную страницу</t>
  </si>
  <si>
    <t xml:space="preserve">URL = https://weblodj.ru/</t>
  </si>
  <si>
    <t xml:space="preserve">TC-005</t>
  </si>
  <si>
    <t xml:space="preserve">Шапка сайта: ховер на «Проекты»</t>
  </si>
  <si>
    <t xml:space="preserve">1) Найти в шапке сайта пункт меню с текстом «Проекты»</t>
  </si>
  <si>
    <t xml:space="preserve">1) При наведении курсора на пункт «Проекты» появляется визуальный эффект</t>
  </si>
  <si>
    <t xml:space="preserve">TC-006</t>
  </si>
  <si>
    <t xml:space="preserve">Шапка сайта: клик «Проекты»</t>
  </si>
  <si>
    <t xml:space="preserve">1) После клика происходит переход на страницу с информацией о проектах</t>
  </si>
  <si>
    <t xml:space="preserve">Пользователь находится на странице проектов</t>
  </si>
  <si>
    <t xml:space="preserve">2) URL страницы содержит /projects или аналогичный путь</t>
  </si>
  <si>
    <t xml:space="preserve">TC-007</t>
  </si>
  <si>
    <t xml:space="preserve">Форма регистрации: позитивный сценарий</t>
  </si>
  <si>
    <t xml:space="preserve">Открыта форма регистрации (нажать кнопку «Регистрация» в шапке сайта)</t>
  </si>
  <si>
    <t xml:space="preserve">1) Найти поле ввода «Email» и кликнуть по нему</t>
  </si>
  <si>
    <t xml:space="preserve">1) Поле «Email» активировано, курсор мигает</t>
  </si>
  <si>
    <t xml:space="preserve">Пользователь создан в БД</t>
  </si>
  <si>
    <t xml:space="preserve">2) Ввести email: 018fce8d28@emailinbo.live</t>
  </si>
  <si>
    <t xml:space="preserve">2) Введённый email отображается в поле</t>
  </si>
  <si>
    <t xml:space="preserve">3) Найти поле ввода «Пароль» и кликнуть по нему</t>
  </si>
  <si>
    <t xml:space="preserve">3) Поле «Пароль» активировано, курсор мигает</t>
  </si>
  <si>
    <t xml:space="preserve">4) Ввести пароль: Qwerty123!</t>
  </si>
  <si>
    <t xml:space="preserve">4) Пароль отображается скрыто (точками или звёздочками)</t>
  </si>
  <si>
    <t xml:space="preserve">5) Найти поле ввода «Подтверждение пароля» и кликнуть</t>
  </si>
  <si>
    <t xml:space="preserve">5) Поле «Подтверждение пароля» активировано, курсор мигает</t>
  </si>
  <si>
    <t xml:space="preserve">6) Ввести пароль: Qwerty123!</t>
  </si>
  <si>
    <t xml:space="preserve">6) Пароль отображается скрыто</t>
  </si>
  <si>
    <t xml:space="preserve">7) Найти кнопку «Зарегистрироваться»</t>
  </si>
  <si>
    <t xml:space="preserve">7) Кнопка видна и активна</t>
  </si>
  <si>
    <t xml:space="preserve">8) Выполнить клик левой кнопкой мыши</t>
  </si>
  <si>
    <t xml:space="preserve">8) Появляется сообщение «Вы успешно зарегистрировались!»</t>
  </si>
  <si>
    <t xml:space="preserve">TC-008</t>
  </si>
  <si>
    <t xml:space="preserve">Форма регистрации: пустые поля</t>
  </si>
  <si>
    <t xml:space="preserve">Открыта форма регистрации</t>
  </si>
  <si>
    <t xml:space="preserve">1) Не заполнять поле «Email» (оставить пустым)</t>
  </si>
  <si>
    <t xml:space="preserve">1) Поле «Email» пустое</t>
  </si>
  <si>
    <t xml:space="preserve">Нет отправки на сервер</t>
  </si>
  <si>
    <t xml:space="preserve">2) Не заполнять поле «Пароль» (оставить пустым)</t>
  </si>
  <si>
    <t xml:space="preserve">2) Поле «Пароль» пустое</t>
  </si>
  <si>
    <t xml:space="preserve">3) Не заполнять поле «Подтверждение пароля» (оставить пустым)</t>
  </si>
  <si>
    <t xml:space="preserve">3) Поле «Подтверждение пароля» пустое</t>
  </si>
  <si>
    <t xml:space="preserve">4) Нажать кнопку «Зарегистрироваться»</t>
  </si>
  <si>
    <t xml:space="preserve">4) Форма НЕ отправляется. Появляется сообщение «please fill out this field» у каждого пустого поля</t>
  </si>
  <si>
    <t xml:space="preserve">TC-009</t>
  </si>
  <si>
    <t xml:space="preserve">Форма регистрации: некорректный email</t>
  </si>
  <si>
    <t xml:space="preserve">Регистрация не выполнена</t>
  </si>
  <si>
    <t xml:space="preserve">2) Ввести email без символа @: 018fce8d28emailinbo.live</t>
  </si>
  <si>
    <t xml:space="preserve">3) Поле «Пароль» активировано</t>
  </si>
  <si>
    <t xml:space="preserve">4) Пароль отображается скрыто</t>
  </si>
  <si>
    <t xml:space="preserve">5) Поле активировано</t>
  </si>
  <si>
    <t xml:space="preserve">7) Нажать кнопку «Зарегистрироваться»</t>
  </si>
  <si>
    <t xml:space="preserve">7) Появляется сообщение «Please include an '@' in the email address». Регистрация НЕ выполнена</t>
  </si>
  <si>
    <t xml:space="preserve">TC-010</t>
  </si>
  <si>
    <t xml:space="preserve">Шапка сайта: ховер на «О нас»</t>
  </si>
  <si>
    <t xml:space="preserve">1) Найти в шапке сайта пункт меню с текстом «О нас»</t>
  </si>
  <si>
    <t xml:space="preserve">1) При наведении курсора на пункт «О нас» появляется визуальный эффект (изменение цвета, подчёркивание, фон или смена курсора на указатель)</t>
  </si>
  <si>
    <t xml:space="preserve">TC-011</t>
  </si>
  <si>
    <t xml:space="preserve">Шапка сайта: клик «О нас»</t>
  </si>
  <si>
    <t xml:space="preserve">1) После клика происходит переход на страницу с информацией «О нас»</t>
  </si>
  <si>
    <t xml:space="preserve">Пользователь находится на странице «О нас»</t>
  </si>
  <si>
    <t xml:space="preserve">2) URL страницы https://weblodj.ru/#p  и информация “О нас”
Профессиональные решения проблем для цифровых продуктов
</t>
  </si>
  <si>
    <t xml:space="preserve">Показывает страницу с информацией и конактной связью</t>
  </si>
  <si>
    <t xml:space="preserve">TC-012</t>
  </si>
  <si>
    <t xml:space="preserve">Шапка сайта: ховер на «Вход»</t>
  </si>
  <si>
    <t xml:space="preserve">1) Найти в шапке сайта кнопку с текстом «Вход»</t>
  </si>
  <si>
    <t xml:space="preserve">1) При наведении курсора на кнопку «Вход» появляется визуальный эффект</t>
  </si>
  <si>
    <t xml:space="preserve">Эффект пропадает при уводе мыши с кнопки</t>
  </si>
  <si>
    <t xml:space="preserve">2) Навести курсор мыши на эту кнопку</t>
  </si>
  <si>
    <t xml:space="preserve">2) При уводе мыши с кнопки эффект пропадает</t>
  </si>
  <si>
    <t xml:space="preserve">TC-013</t>
  </si>
  <si>
    <t xml:space="preserve">Шапка сайта: клик «Вход»</t>
  </si>
  <si>
    <t xml:space="preserve">1) После клика открывается форма входа</t>
  </si>
  <si>
    <t xml:space="preserve">Пользователь находится на форме входа</t>
  </si>
  <si>
    <t xml:space="preserve">2) Форма содержит поля для ввода Email и пароля</t>
  </si>
  <si>
    <t xml:space="preserve">TC-014</t>
  </si>
  <si>
    <t xml:space="preserve">Шапка сайта: ховер на кнопку «Регистрация»</t>
  </si>
  <si>
    <t xml:space="preserve">1) Найти в шапке сайта кнопку с текстом «Регистрация»</t>
  </si>
  <si>
    <t xml:space="preserve">1) При наведении курсора на кнопку «Регистрация» появляется визуальный эффект</t>
  </si>
  <si>
    <t xml:space="preserve">TC-015</t>
  </si>
  <si>
    <t xml:space="preserve">Шапка сайта: клик кнопки «Регистрация»</t>
  </si>
  <si>
    <t xml:space="preserve">1) После клика открывается форма регистрации</t>
  </si>
  <si>
    <t xml:space="preserve">Пользователь находится на форме регистрации</t>
  </si>
  <si>
    <t xml:space="preserve">2) Форма содержит поля: Email, Пароль, Подтверждение пароля</t>
  </si>
  <si>
    <t xml:space="preserve">TC-016</t>
  </si>
  <si>
    <t xml:space="preserve">Форма входа: ввод email без @</t>
  </si>
  <si>
    <t xml:space="preserve">Открыта форма входа (после клика на кнопку «Вход»)</t>
  </si>
  <si>
    <t xml:space="preserve">1) Найти поле ввода «Email»</t>
  </si>
  <si>
    <t xml:space="preserve">1)Сообщение об ошибке показывается один раз</t>
  </si>
  <si>
    <t xml:space="preserve">Форма не отправляется, пользователь не авторизован</t>
  </si>
  <si>
    <t xml:space="preserve">4) Ввести пароль: Qwerty123!</t>
  </si>
  <si>
    <t xml:space="preserve">5) Нажать кнопку «Войти»</t>
  </si>
  <si>
    <t xml:space="preserve">Session ID
(Номер сессии)</t>
  </si>
  <si>
    <t xml:space="preserve">Date
(Время)</t>
  </si>
  <si>
    <t xml:space="preserve">Session Name
(Имя сессии)</t>
  </si>
  <si>
    <t xml:space="preserve">Tester
(Тестировщик)</t>
  </si>
  <si>
    <t xml:space="preserve">Result
(Результат)</t>
  </si>
  <si>
    <t xml:space="preserve">Comment
(Комментарий)</t>
  </si>
  <si>
    <t xml:space="preserve">Bug ID
(Номер бага)</t>
  </si>
  <si>
    <t xml:space="preserve">TR-001</t>
  </si>
  <si>
    <t xml:space="preserve">02.06.2026</t>
  </si>
  <si>
    <t xml:space="preserve">Юзабилити + регистрация (weblodj)</t>
  </si>
  <si>
    <t xml:space="preserve">Алексей</t>
  </si>
  <si>
    <t xml:space="preserve">Ховер есть: курсор меняется на pointer</t>
  </si>
  <si>
    <t xml:space="preserve">Переход на главную работает</t>
  </si>
  <si>
    <t xml:space="preserve">«Ховер на «Главная» присутствует»</t>
  </si>
  <si>
    <t xml:space="preserve">Редирект на главную корректен</t>
  </si>
  <si>
    <t xml:space="preserve">«Ховер на «Проекты» присутствует»</t>
  </si>
  <si>
    <t xml:space="preserve">Клик «Проекты» не ведёт на страницу проектов</t>
  </si>
  <si>
    <t xml:space="preserve">Регистрация успешна</t>
  </si>
  <si>
    <t xml:space="preserve">Пустые поля не отправляются</t>
  </si>
  <si>
    <t xml:space="preserve">Невалидный email не принимается</t>
  </si>
  <si>
    <t xml:space="preserve">Ховер есть</t>
  </si>
  <si>
    <t xml:space="preserve">Переход работает</t>
  </si>
  <si>
    <t xml:space="preserve">При клике на кнопку "Вход" форма открывается, поля ввода Email и пароля отображаются</t>
  </si>
  <si>
    <t xml:space="preserve">Форма открывается</t>
  </si>
  <si>
    <t xml:space="preserve">Баг с дублированием ошибки </t>
  </si>
  <si>
    <t xml:space="preserve">Related Case ID
(Связанный кейс)</t>
  </si>
  <si>
    <t xml:space="preserve">Error Step
(Шаг с ошибкой)</t>
  </si>
  <si>
    <t xml:space="preserve">Actual Result 
(Актуальный результат)</t>
  </si>
  <si>
    <t xml:space="preserve">Severity
(Серъезность)</t>
  </si>
  <si>
    <t xml:space="preserve">Environment
(Окружение)</t>
  </si>
  <si>
    <t xml:space="preserve">Attachments/Links
(Скриншоты/Ссылки)</t>
  </si>
  <si>
    <t xml:space="preserve">Date Reported
(Дата обнаружения)</t>
  </si>
  <si>
    <t xml:space="preserve">BR-001</t>
  </si>
  <si>
    <t xml:space="preserve">При вводе email без @ в форме входа дублируется сообщение об ошибке</t>
  </si>
  <si>
    <t xml:space="preserve">Пользователь зарегистрирован, открыта форма входа</t>
  </si>
  <si>
    <t xml:space="preserve">1) Ввести email без @: 018fce8d2emailinbo.live
2) Нажать «Войти»</t>
  </si>
  <si>
    <t xml:space="preserve">Сообщение об ошибке показывается один раз</t>
  </si>
  <si>
    <t xml:space="preserve">Сообщение об ошибке показывается дважды</t>
  </si>
  <si>
    <t xml:space="preserve">Chrome 148 / Linux</t>
  </si>
  <si>
    <t xml:space="preserve">https://drive.google.com/file/d/1LOQuBZp2RuBKk9KgcDMRggfYOpbk7y5D/view?usp=sharing</t>
  </si>
  <si>
    <t xml:space="preserve">BR-002</t>
  </si>
  <si>
    <t xml:space="preserve">Кликнуть «Проекты»</t>
  </si>
  <si>
    <t xml:space="preserve">Переход на страницу проектов</t>
  </si>
  <si>
    <t xml:space="preserve">Пользователь остаётся на главной странице</t>
  </si>
  <si>
    <t xml:space="preserve">http://icecream.me/7745f27da61aae366510a99dd529df01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</si>
</sst>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Arial"/>
      <family val="2"/>
      <charset val="1"/>
    </font>
    <font>
      <b val="true"/>
      <sz val="12"/>
      <color theme="1"/>
      <name val="Arial"/>
      <family val="2"/>
      <charset val="1"/>
    </font>
    <font>
      <sz val="10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7999"/>
        <bgColor rgb="FFCCFFFF"/>
      </patternFill>
    </fill>
    <fill>
      <patternFill patternType="solid">
        <fgColor rgb="FF81D41A"/>
        <bgColor rgb="FF969696"/>
      </patternFill>
    </fill>
    <fill>
      <patternFill patternType="solid">
        <fgColor rgb="FFFF0000"/>
        <bgColor rgb="FFFF4000"/>
      </patternFill>
    </fill>
    <fill>
      <patternFill patternType="solid">
        <fgColor rgb="FFFF4000"/>
        <bgColor rgb="FFFF0000"/>
      </patternFill>
    </fill>
  </fills>
  <borders count="1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9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5" fillId="4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1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12" xfId="0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40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eblodj.ru/" TargetMode="External"/><Relationship Id="rId2" Type="http://schemas.openxmlformats.org/officeDocument/2006/relationships/hyperlink" Target="https://weblodj.ru/" TargetMode="External"/><Relationship Id="rId3" Type="http://schemas.openxmlformats.org/officeDocument/2006/relationships/hyperlink" Target="https://weblodj.ru/" TargetMode="External"/><Relationship Id="rId4" Type="http://schemas.openxmlformats.org/officeDocument/2006/relationships/hyperlink" Target="https://weblodj.ru/" TargetMode="External"/><Relationship Id="rId5" Type="http://schemas.openxmlformats.org/officeDocument/2006/relationships/hyperlink" Target="https://weblodj.ru/" TargetMode="External"/><Relationship Id="rId6" Type="http://schemas.openxmlformats.org/officeDocument/2006/relationships/hyperlink" Target="https://weblodj.ru/" TargetMode="External"/><Relationship Id="rId7" Type="http://schemas.openxmlformats.org/officeDocument/2006/relationships/hyperlink" Target="https://weblodj.ru/" TargetMode="External"/><Relationship Id="rId8" Type="http://schemas.openxmlformats.org/officeDocument/2006/relationships/hyperlink" Target="https://weblodj.ru/" TargetMode="External"/><Relationship Id="rId9" Type="http://schemas.openxmlformats.org/officeDocument/2006/relationships/hyperlink" Target="https://018fce8d28emailinbo.live/" TargetMode="External"/><Relationship Id="rId10" Type="http://schemas.openxmlformats.org/officeDocument/2006/relationships/hyperlink" Target="https://weblodj.ru/" TargetMode="External"/><Relationship Id="rId11" Type="http://schemas.openxmlformats.org/officeDocument/2006/relationships/hyperlink" Target="https://weblodj.ru/" TargetMode="External"/><Relationship Id="rId12" Type="http://schemas.openxmlformats.org/officeDocument/2006/relationships/hyperlink" Target="https://weblodj.ru/" TargetMode="External"/><Relationship Id="rId13" Type="http://schemas.openxmlformats.org/officeDocument/2006/relationships/hyperlink" Target="https://weblodj.ru/" TargetMode="External"/><Relationship Id="rId14" Type="http://schemas.openxmlformats.org/officeDocument/2006/relationships/hyperlink" Target="https://weblodj.ru/" TargetMode="External"/><Relationship Id="rId15" Type="http://schemas.openxmlformats.org/officeDocument/2006/relationships/hyperlink" Target="https://weblodj.ru/" TargetMode="External"/><Relationship Id="rId16" Type="http://schemas.openxmlformats.org/officeDocument/2006/relationships/hyperlink" Target="https://weblodj.ru/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018fce8d2emailinbo.live/" TargetMode="External"/><Relationship Id="rId2" Type="http://schemas.openxmlformats.org/officeDocument/2006/relationships/hyperlink" Target="https://drive.google.com/file/d/1LOQuBZp2RuBKk9KgcDMRggfYOpbk7y5D/view?usp=sharing" TargetMode="External"/><Relationship Id="rId3" Type="http://schemas.openxmlformats.org/officeDocument/2006/relationships/hyperlink" Target="https://weblodj.ru/" TargetMode="External"/><Relationship Id="rId4" Type="http://schemas.openxmlformats.org/officeDocument/2006/relationships/hyperlink" Target="http://icecream.me/7745f27da61aae366510a99dd529df01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B2" s="1" t="s">
        <v>2</v>
      </c>
    </row>
    <row r="3" customFormat="false" ht="15" hidden="false" customHeight="false" outlineLevel="0" collapsed="false">
      <c r="B3" s="1" t="s">
        <v>3</v>
      </c>
    </row>
    <row r="4" customFormat="false" ht="15" hidden="false" customHeight="false" outlineLevel="0" collapsed="false">
      <c r="B4" s="1" t="s">
        <v>4</v>
      </c>
    </row>
    <row r="6" customFormat="false" ht="15" hidden="false" customHeight="false" outlineLevel="0" collapsed="false">
      <c r="A6" s="1" t="s">
        <v>5</v>
      </c>
      <c r="B6" s="1" t="s">
        <v>6</v>
      </c>
    </row>
    <row r="7" customFormat="false" ht="15" hidden="false" customHeight="false" outlineLevel="0" collapsed="false">
      <c r="B7" s="1" t="s">
        <v>7</v>
      </c>
    </row>
    <row r="8" customFormat="false" ht="15" hidden="false" customHeight="false" outlineLevel="0" collapsed="false">
      <c r="B8" s="1" t="s">
        <v>8</v>
      </c>
    </row>
    <row r="9" customFormat="false" ht="15" hidden="false" customHeight="false" outlineLevel="0" collapsed="false">
      <c r="B9" s="1" t="s">
        <v>9</v>
      </c>
    </row>
    <row r="11" customFormat="false" ht="15" hidden="false" customHeight="false" outlineLevel="0" collapsed="false">
      <c r="A11" s="1" t="s">
        <v>10</v>
      </c>
      <c r="B11" s="1" t="s">
        <v>11</v>
      </c>
    </row>
    <row r="12" customFormat="false" ht="15" hidden="false" customHeight="false" outlineLevel="0" collapsed="false">
      <c r="B12" s="1" t="s">
        <v>12</v>
      </c>
    </row>
    <row r="13" customFormat="false" ht="15" hidden="false" customHeight="false" outlineLevel="0" collapsed="false">
      <c r="B13" s="1" t="s">
        <v>13</v>
      </c>
    </row>
    <row r="15" customFormat="false" ht="15" hidden="false" customHeight="false" outlineLevel="0" collapsed="false">
      <c r="A15" s="1" t="s">
        <v>14</v>
      </c>
      <c r="B15" s="1" t="s">
        <v>15</v>
      </c>
    </row>
    <row r="16" customFormat="false" ht="15" hidden="false" customHeight="false" outlineLevel="0" collapsed="false">
      <c r="B16" s="1" t="s">
        <v>16</v>
      </c>
    </row>
    <row r="17" customFormat="false" ht="15" hidden="false" customHeight="false" outlineLevel="0" collapsed="false">
      <c r="B17" s="1" t="s">
        <v>17</v>
      </c>
    </row>
    <row r="18" customFormat="false" ht="15" hidden="false" customHeight="false" outlineLevel="0" collapsed="false">
      <c r="B18" s="1" t="s">
        <v>18</v>
      </c>
    </row>
    <row r="19" customFormat="false" ht="15" hidden="false" customHeight="false" outlineLevel="0" collapsed="false">
      <c r="B19" s="1" t="s">
        <v>19</v>
      </c>
    </row>
    <row r="20" customFormat="false" ht="15" hidden="false" customHeight="false" outlineLevel="0" collapsed="false">
      <c r="B20" s="1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35" activePane="bottomLeft" state="frozen"/>
      <selection pane="topLeft" activeCell="A1" activeCellId="0" sqref="A1"/>
      <selection pane="bottomLeft" activeCell="A44" activeCellId="0" sqref="A44"/>
    </sheetView>
  </sheetViews>
  <sheetFormatPr defaultColWidth="8.4765625" defaultRowHeight="15" zeroHeight="false" outlineLevelRow="0" outlineLevelCol="0"/>
  <cols>
    <col collapsed="false" customWidth="true" hidden="false" outlineLevel="0" max="1" min="1" style="2" width="15.86"/>
    <col collapsed="false" customWidth="true" hidden="false" outlineLevel="0" max="3" min="2" style="2" width="28.57"/>
    <col collapsed="false" customWidth="true" hidden="false" outlineLevel="0" max="4" min="4" style="2" width="43.43"/>
    <col collapsed="false" customWidth="true" hidden="false" outlineLevel="0" max="5" min="5" style="2" width="42.57"/>
    <col collapsed="false" customWidth="true" hidden="false" outlineLevel="0" max="6" min="6" style="2" width="38.57"/>
    <col collapsed="false" customWidth="true" hidden="false" outlineLevel="0" max="7" min="7" style="2" width="14"/>
    <col collapsed="false" customWidth="false" hidden="false" outlineLevel="0" max="16384" min="8" style="2" width="8.48"/>
  </cols>
  <sheetData>
    <row r="1" customFormat="false" ht="33.75" hidden="false" customHeight="true" outlineLevel="0" collapsed="false">
      <c r="A1" s="3" t="s">
        <v>21</v>
      </c>
      <c r="B1" s="3" t="s">
        <v>22</v>
      </c>
      <c r="C1" s="4" t="s">
        <v>23</v>
      </c>
      <c r="D1" s="5" t="s">
        <v>24</v>
      </c>
      <c r="E1" s="5" t="s">
        <v>25</v>
      </c>
      <c r="F1" s="5" t="s">
        <v>26</v>
      </c>
      <c r="G1" s="5" t="s">
        <v>27</v>
      </c>
    </row>
    <row r="2" customFormat="false" ht="27.7" hidden="false" customHeight="false" outlineLevel="0" collapsed="false">
      <c r="A2" s="6" t="s">
        <v>28</v>
      </c>
      <c r="B2" s="7" t="s">
        <v>29</v>
      </c>
      <c r="C2" s="7" t="s">
        <v>30</v>
      </c>
      <c r="D2" s="7" t="s">
        <v>31</v>
      </c>
      <c r="E2" s="7" t="s">
        <v>32</v>
      </c>
      <c r="F2" s="7" t="s">
        <v>33</v>
      </c>
      <c r="G2" s="8" t="s">
        <v>12</v>
      </c>
    </row>
    <row r="3" customFormat="false" ht="27.7" hidden="false" customHeight="false" outlineLevel="0" collapsed="false">
      <c r="A3" s="9"/>
      <c r="D3" s="2" t="s">
        <v>34</v>
      </c>
      <c r="E3" s="2" t="s">
        <v>35</v>
      </c>
      <c r="G3" s="10"/>
    </row>
    <row r="4" customFormat="false" ht="40.95" hidden="false" customHeight="false" outlineLevel="0" collapsed="false">
      <c r="A4" s="11"/>
      <c r="B4" s="12"/>
      <c r="C4" s="12"/>
      <c r="D4" s="12" t="s">
        <v>36</v>
      </c>
      <c r="E4" s="12" t="s">
        <v>37</v>
      </c>
      <c r="F4" s="12"/>
      <c r="G4" s="13"/>
    </row>
    <row r="5" customFormat="false" ht="27.7" hidden="false" customHeight="false" outlineLevel="0" collapsed="false">
      <c r="A5" s="6" t="s">
        <v>38</v>
      </c>
      <c r="B5" s="7" t="s">
        <v>39</v>
      </c>
      <c r="C5" s="7" t="s">
        <v>30</v>
      </c>
      <c r="D5" s="7" t="s">
        <v>40</v>
      </c>
      <c r="E5" s="7" t="s">
        <v>41</v>
      </c>
      <c r="F5" s="7" t="s">
        <v>42</v>
      </c>
      <c r="G5" s="8" t="s">
        <v>11</v>
      </c>
    </row>
    <row r="6" customFormat="false" ht="15" hidden="false" customHeight="false" outlineLevel="0" collapsed="false">
      <c r="A6" s="11"/>
      <c r="B6" s="12"/>
      <c r="C6" s="12"/>
      <c r="D6" s="12" t="s">
        <v>43</v>
      </c>
      <c r="E6" s="12" t="s">
        <v>44</v>
      </c>
      <c r="F6" s="12"/>
      <c r="G6" s="13"/>
    </row>
    <row r="7" customFormat="false" ht="27.7" hidden="false" customHeight="false" outlineLevel="0" collapsed="false">
      <c r="A7" s="6" t="s">
        <v>45</v>
      </c>
      <c r="B7" s="7" t="s">
        <v>46</v>
      </c>
      <c r="C7" s="7" t="s">
        <v>47</v>
      </c>
      <c r="D7" s="7" t="s">
        <v>48</v>
      </c>
      <c r="E7" s="7" t="s">
        <v>49</v>
      </c>
      <c r="F7" s="7" t="s">
        <v>50</v>
      </c>
      <c r="G7" s="8" t="s">
        <v>12</v>
      </c>
    </row>
    <row r="8" customFormat="false" ht="27.7" hidden="false" customHeight="false" outlineLevel="0" collapsed="false">
      <c r="A8" s="9"/>
      <c r="D8" s="2" t="s">
        <v>51</v>
      </c>
      <c r="E8" s="2" t="s">
        <v>52</v>
      </c>
      <c r="G8" s="10"/>
    </row>
    <row r="9" customFormat="false" ht="15" hidden="false" customHeight="false" outlineLevel="0" collapsed="false">
      <c r="A9" s="11"/>
      <c r="B9" s="12"/>
      <c r="C9" s="12"/>
      <c r="D9" s="12" t="s">
        <v>53</v>
      </c>
      <c r="E9" s="12"/>
      <c r="F9" s="12"/>
      <c r="G9" s="13"/>
    </row>
    <row r="10" customFormat="false" ht="27.7" hidden="false" customHeight="false" outlineLevel="0" collapsed="false">
      <c r="A10" s="6" t="s">
        <v>54</v>
      </c>
      <c r="B10" s="7" t="s">
        <v>55</v>
      </c>
      <c r="C10" s="7" t="s">
        <v>56</v>
      </c>
      <c r="D10" s="7" t="s">
        <v>48</v>
      </c>
      <c r="E10" s="7" t="s">
        <v>57</v>
      </c>
      <c r="F10" s="7" t="s">
        <v>58</v>
      </c>
      <c r="G10" s="8" t="s">
        <v>11</v>
      </c>
    </row>
    <row r="11" customFormat="false" ht="15" hidden="false" customHeight="false" outlineLevel="0" collapsed="false">
      <c r="A11" s="11"/>
      <c r="B11" s="12"/>
      <c r="C11" s="12"/>
      <c r="D11" s="12" t="s">
        <v>43</v>
      </c>
      <c r="E11" s="12" t="s">
        <v>44</v>
      </c>
      <c r="F11" s="12"/>
      <c r="G11" s="13"/>
    </row>
    <row r="12" customFormat="false" ht="27.7" hidden="false" customHeight="false" outlineLevel="0" collapsed="false">
      <c r="A12" s="6" t="s">
        <v>59</v>
      </c>
      <c r="B12" s="7" t="s">
        <v>60</v>
      </c>
      <c r="C12" s="7" t="s">
        <v>47</v>
      </c>
      <c r="D12" s="7" t="s">
        <v>61</v>
      </c>
      <c r="E12" s="7" t="s">
        <v>62</v>
      </c>
      <c r="F12" s="7" t="s">
        <v>50</v>
      </c>
      <c r="G12" s="8" t="s">
        <v>12</v>
      </c>
    </row>
    <row r="13" customFormat="false" ht="27.7" hidden="false" customHeight="false" outlineLevel="0" collapsed="false">
      <c r="A13" s="9"/>
      <c r="D13" s="2" t="s">
        <v>51</v>
      </c>
      <c r="E13" s="2" t="s">
        <v>52</v>
      </c>
      <c r="G13" s="10"/>
    </row>
    <row r="14" customFormat="false" ht="15" hidden="false" customHeight="false" outlineLevel="0" collapsed="false">
      <c r="A14" s="11"/>
      <c r="B14" s="12"/>
      <c r="C14" s="12"/>
      <c r="D14" s="12" t="s">
        <v>53</v>
      </c>
      <c r="E14" s="12"/>
      <c r="F14" s="12"/>
      <c r="G14" s="13"/>
    </row>
    <row r="15" customFormat="false" ht="27.7" hidden="false" customHeight="false" outlineLevel="0" collapsed="false">
      <c r="A15" s="6" t="s">
        <v>63</v>
      </c>
      <c r="B15" s="7" t="s">
        <v>64</v>
      </c>
      <c r="C15" s="7" t="s">
        <v>47</v>
      </c>
      <c r="D15" s="7" t="s">
        <v>61</v>
      </c>
      <c r="E15" s="7" t="s">
        <v>65</v>
      </c>
      <c r="F15" s="7" t="s">
        <v>66</v>
      </c>
      <c r="G15" s="8" t="s">
        <v>11</v>
      </c>
    </row>
    <row r="16" customFormat="false" ht="27.7" hidden="false" customHeight="false" outlineLevel="0" collapsed="false">
      <c r="A16" s="11"/>
      <c r="B16" s="12"/>
      <c r="C16" s="12"/>
      <c r="D16" s="12" t="s">
        <v>43</v>
      </c>
      <c r="E16" s="12" t="s">
        <v>67</v>
      </c>
      <c r="F16" s="12"/>
      <c r="G16" s="13"/>
    </row>
    <row r="17" customFormat="false" ht="40.95" hidden="false" customHeight="false" outlineLevel="0" collapsed="false">
      <c r="A17" s="6" t="s">
        <v>68</v>
      </c>
      <c r="B17" s="7" t="s">
        <v>69</v>
      </c>
      <c r="C17" s="7" t="s">
        <v>70</v>
      </c>
      <c r="D17" s="7" t="s">
        <v>71</v>
      </c>
      <c r="E17" s="7" t="s">
        <v>72</v>
      </c>
      <c r="F17" s="7" t="s">
        <v>73</v>
      </c>
      <c r="G17" s="8" t="s">
        <v>11</v>
      </c>
    </row>
    <row r="18" customFormat="false" ht="15" hidden="false" customHeight="false" outlineLevel="0" collapsed="false">
      <c r="A18" s="9"/>
      <c r="D18" s="2" t="s">
        <v>74</v>
      </c>
      <c r="E18" s="2" t="s">
        <v>75</v>
      </c>
      <c r="G18" s="10"/>
    </row>
    <row r="19" customFormat="false" ht="27.7" hidden="false" customHeight="false" outlineLevel="0" collapsed="false">
      <c r="A19" s="9"/>
      <c r="D19" s="2" t="s">
        <v>76</v>
      </c>
      <c r="E19" s="2" t="s">
        <v>77</v>
      </c>
      <c r="G19" s="10"/>
    </row>
    <row r="20" customFormat="false" ht="27.7" hidden="false" customHeight="false" outlineLevel="0" collapsed="false">
      <c r="A20" s="9"/>
      <c r="D20" s="2" t="s">
        <v>78</v>
      </c>
      <c r="E20" s="2" t="s">
        <v>79</v>
      </c>
      <c r="G20" s="10"/>
    </row>
    <row r="21" customFormat="false" ht="27.7" hidden="false" customHeight="false" outlineLevel="0" collapsed="false">
      <c r="A21" s="9"/>
      <c r="D21" s="2" t="s">
        <v>80</v>
      </c>
      <c r="E21" s="2" t="s">
        <v>81</v>
      </c>
      <c r="G21" s="10"/>
    </row>
    <row r="22" customFormat="false" ht="15" hidden="false" customHeight="false" outlineLevel="0" collapsed="false">
      <c r="A22" s="9"/>
      <c r="D22" s="2" t="s">
        <v>82</v>
      </c>
      <c r="E22" s="2" t="s">
        <v>83</v>
      </c>
      <c r="G22" s="10"/>
    </row>
    <row r="23" customFormat="false" ht="15" hidden="false" customHeight="false" outlineLevel="0" collapsed="false">
      <c r="A23" s="9"/>
      <c r="D23" s="2" t="s">
        <v>84</v>
      </c>
      <c r="E23" s="2" t="s">
        <v>85</v>
      </c>
      <c r="G23" s="10"/>
    </row>
    <row r="24" customFormat="false" ht="27.7" hidden="false" customHeight="false" outlineLevel="0" collapsed="false">
      <c r="A24" s="11"/>
      <c r="B24" s="12"/>
      <c r="C24" s="12"/>
      <c r="D24" s="12" t="s">
        <v>86</v>
      </c>
      <c r="E24" s="12" t="s">
        <v>87</v>
      </c>
      <c r="F24" s="12"/>
      <c r="G24" s="13"/>
    </row>
    <row r="25" customFormat="false" ht="27.7" hidden="false" customHeight="false" outlineLevel="0" collapsed="false">
      <c r="A25" s="6" t="s">
        <v>88</v>
      </c>
      <c r="B25" s="7" t="s">
        <v>89</v>
      </c>
      <c r="C25" s="7" t="s">
        <v>90</v>
      </c>
      <c r="D25" s="7" t="s">
        <v>91</v>
      </c>
      <c r="E25" s="7" t="s">
        <v>92</v>
      </c>
      <c r="F25" s="7" t="s">
        <v>93</v>
      </c>
      <c r="G25" s="8" t="s">
        <v>11</v>
      </c>
    </row>
    <row r="26" customFormat="false" ht="27.7" hidden="false" customHeight="false" outlineLevel="0" collapsed="false">
      <c r="A26" s="9"/>
      <c r="D26" s="2" t="s">
        <v>94</v>
      </c>
      <c r="E26" s="2" t="s">
        <v>95</v>
      </c>
      <c r="G26" s="10"/>
    </row>
    <row r="27" customFormat="false" ht="27.7" hidden="false" customHeight="false" outlineLevel="0" collapsed="false">
      <c r="A27" s="9"/>
      <c r="D27" s="2" t="s">
        <v>96</v>
      </c>
      <c r="E27" s="2" t="s">
        <v>97</v>
      </c>
      <c r="G27" s="10"/>
    </row>
    <row r="28" customFormat="false" ht="40.95" hidden="false" customHeight="false" outlineLevel="0" collapsed="false">
      <c r="A28" s="11"/>
      <c r="B28" s="12"/>
      <c r="C28" s="12"/>
      <c r="D28" s="12" t="s">
        <v>98</v>
      </c>
      <c r="E28" s="12" t="s">
        <v>99</v>
      </c>
      <c r="F28" s="12"/>
      <c r="G28" s="13"/>
    </row>
    <row r="29" customFormat="false" ht="27.7" hidden="false" customHeight="false" outlineLevel="0" collapsed="false">
      <c r="A29" s="6" t="s">
        <v>100</v>
      </c>
      <c r="B29" s="7" t="s">
        <v>101</v>
      </c>
      <c r="C29" s="7" t="s">
        <v>90</v>
      </c>
      <c r="D29" s="7" t="s">
        <v>71</v>
      </c>
      <c r="E29" s="7" t="s">
        <v>72</v>
      </c>
      <c r="F29" s="7" t="s">
        <v>102</v>
      </c>
      <c r="G29" s="8" t="s">
        <v>11</v>
      </c>
    </row>
    <row r="30" customFormat="false" ht="15" hidden="false" customHeight="false" outlineLevel="0" collapsed="false">
      <c r="A30" s="9"/>
      <c r="D30" s="2" t="s">
        <v>103</v>
      </c>
      <c r="E30" s="2" t="s">
        <v>75</v>
      </c>
      <c r="G30" s="10"/>
    </row>
    <row r="31" customFormat="false" ht="27.7" hidden="false" customHeight="false" outlineLevel="0" collapsed="false">
      <c r="A31" s="9"/>
      <c r="D31" s="2" t="s">
        <v>76</v>
      </c>
      <c r="E31" s="2" t="s">
        <v>104</v>
      </c>
      <c r="G31" s="10"/>
    </row>
    <row r="32" customFormat="false" ht="15" hidden="false" customHeight="false" outlineLevel="0" collapsed="false">
      <c r="A32" s="9"/>
      <c r="D32" s="2" t="s">
        <v>78</v>
      </c>
      <c r="E32" s="2" t="s">
        <v>105</v>
      </c>
      <c r="G32" s="10"/>
    </row>
    <row r="33" customFormat="false" ht="27.7" hidden="false" customHeight="false" outlineLevel="0" collapsed="false">
      <c r="A33" s="9"/>
      <c r="D33" s="2" t="s">
        <v>80</v>
      </c>
      <c r="E33" s="2" t="s">
        <v>106</v>
      </c>
      <c r="G33" s="10"/>
    </row>
    <row r="34" customFormat="false" ht="15" hidden="false" customHeight="false" outlineLevel="0" collapsed="false">
      <c r="A34" s="9"/>
      <c r="D34" s="2" t="s">
        <v>82</v>
      </c>
      <c r="E34" s="2" t="s">
        <v>83</v>
      </c>
      <c r="G34" s="10"/>
    </row>
    <row r="35" customFormat="false" ht="40.95" hidden="false" customHeight="false" outlineLevel="0" collapsed="false">
      <c r="A35" s="11"/>
      <c r="B35" s="12"/>
      <c r="C35" s="12"/>
      <c r="D35" s="12" t="s">
        <v>107</v>
      </c>
      <c r="E35" s="12" t="s">
        <v>108</v>
      </c>
      <c r="F35" s="12"/>
      <c r="G35" s="13"/>
    </row>
    <row r="36" customFormat="false" ht="54.2" hidden="false" customHeight="false" outlineLevel="0" collapsed="false">
      <c r="A36" s="14" t="s">
        <v>109</v>
      </c>
      <c r="B36" s="15" t="s">
        <v>110</v>
      </c>
      <c r="C36" s="15" t="s">
        <v>47</v>
      </c>
      <c r="D36" s="15" t="s">
        <v>111</v>
      </c>
      <c r="E36" s="15" t="s">
        <v>112</v>
      </c>
      <c r="F36" s="15" t="s">
        <v>50</v>
      </c>
      <c r="G36" s="16" t="s">
        <v>12</v>
      </c>
    </row>
    <row r="37" customFormat="false" ht="27.7" hidden="false" customHeight="false" outlineLevel="0" collapsed="false">
      <c r="A37" s="17"/>
      <c r="B37" s="18"/>
      <c r="C37" s="18"/>
      <c r="D37" s="18" t="s">
        <v>51</v>
      </c>
      <c r="E37" s="18" t="s">
        <v>52</v>
      </c>
      <c r="F37" s="18"/>
      <c r="G37" s="19"/>
    </row>
    <row r="38" customFormat="false" ht="15" hidden="false" customHeight="false" outlineLevel="0" collapsed="false">
      <c r="A38" s="20"/>
      <c r="B38" s="21"/>
      <c r="C38" s="21"/>
      <c r="D38" s="21" t="s">
        <v>53</v>
      </c>
      <c r="E38" s="21"/>
      <c r="F38" s="21"/>
      <c r="G38" s="22"/>
    </row>
    <row r="39" customFormat="false" ht="27.7" hidden="false" customHeight="false" outlineLevel="0" collapsed="false">
      <c r="A39" s="14" t="s">
        <v>113</v>
      </c>
      <c r="B39" s="15" t="s">
        <v>114</v>
      </c>
      <c r="C39" s="15" t="s">
        <v>47</v>
      </c>
      <c r="D39" s="15" t="s">
        <v>111</v>
      </c>
      <c r="E39" s="15" t="s">
        <v>115</v>
      </c>
      <c r="F39" s="15" t="s">
        <v>116</v>
      </c>
      <c r="G39" s="16" t="s">
        <v>11</v>
      </c>
    </row>
    <row r="40" customFormat="false" ht="67.45" hidden="false" customHeight="false" outlineLevel="0" collapsed="false">
      <c r="A40" s="20"/>
      <c r="B40" s="21"/>
      <c r="C40" s="21"/>
      <c r="D40" s="21" t="s">
        <v>43</v>
      </c>
      <c r="E40" s="21" t="s">
        <v>117</v>
      </c>
      <c r="F40" s="21" t="s">
        <v>118</v>
      </c>
      <c r="G40" s="22"/>
    </row>
    <row r="41" customFormat="false" ht="27.7" hidden="false" customHeight="false" outlineLevel="0" collapsed="false">
      <c r="A41" s="14" t="s">
        <v>119</v>
      </c>
      <c r="B41" s="15" t="s">
        <v>120</v>
      </c>
      <c r="C41" s="15" t="s">
        <v>47</v>
      </c>
      <c r="D41" s="15" t="s">
        <v>121</v>
      </c>
      <c r="E41" s="15" t="s">
        <v>122</v>
      </c>
      <c r="F41" s="15" t="s">
        <v>123</v>
      </c>
      <c r="G41" s="16" t="s">
        <v>12</v>
      </c>
    </row>
    <row r="42" customFormat="false" ht="27.7" hidden="false" customHeight="false" outlineLevel="0" collapsed="false">
      <c r="A42" s="17"/>
      <c r="B42" s="18"/>
      <c r="C42" s="18"/>
      <c r="D42" s="18" t="s">
        <v>124</v>
      </c>
      <c r="E42" s="18" t="s">
        <v>125</v>
      </c>
      <c r="F42" s="18"/>
      <c r="G42" s="19"/>
    </row>
    <row r="43" customFormat="false" ht="15" hidden="false" customHeight="false" outlineLevel="0" collapsed="false">
      <c r="A43" s="20"/>
      <c r="B43" s="21"/>
      <c r="C43" s="21"/>
      <c r="D43" s="21" t="s">
        <v>53</v>
      </c>
      <c r="E43" s="21"/>
      <c r="F43" s="21"/>
      <c r="G43" s="22"/>
    </row>
    <row r="44" customFormat="false" ht="27.7" hidden="false" customHeight="false" outlineLevel="0" collapsed="false">
      <c r="A44" s="14" t="s">
        <v>126</v>
      </c>
      <c r="B44" s="15" t="s">
        <v>127</v>
      </c>
      <c r="C44" s="15" t="s">
        <v>47</v>
      </c>
      <c r="D44" s="15" t="s">
        <v>121</v>
      </c>
      <c r="E44" s="15" t="s">
        <v>128</v>
      </c>
      <c r="F44" s="15" t="s">
        <v>129</v>
      </c>
      <c r="G44" s="16" t="s">
        <v>11</v>
      </c>
    </row>
    <row r="45" customFormat="false" ht="27.7" hidden="false" customHeight="false" outlineLevel="0" collapsed="false">
      <c r="A45" s="20"/>
      <c r="B45" s="21"/>
      <c r="C45" s="21"/>
      <c r="D45" s="21" t="s">
        <v>43</v>
      </c>
      <c r="E45" s="21" t="s">
        <v>130</v>
      </c>
      <c r="F45" s="21"/>
      <c r="G45" s="22"/>
    </row>
    <row r="46" customFormat="false" ht="40.95" hidden="false" customHeight="false" outlineLevel="0" collapsed="false">
      <c r="A46" s="14" t="s">
        <v>131</v>
      </c>
      <c r="B46" s="15" t="s">
        <v>132</v>
      </c>
      <c r="C46" s="15" t="s">
        <v>47</v>
      </c>
      <c r="D46" s="15" t="s">
        <v>133</v>
      </c>
      <c r="E46" s="15" t="s">
        <v>134</v>
      </c>
      <c r="F46" s="15" t="s">
        <v>123</v>
      </c>
      <c r="G46" s="16" t="s">
        <v>12</v>
      </c>
    </row>
    <row r="47" customFormat="false" ht="27.7" hidden="false" customHeight="false" outlineLevel="0" collapsed="false">
      <c r="A47" s="17"/>
      <c r="B47" s="18"/>
      <c r="C47" s="18"/>
      <c r="D47" s="18" t="s">
        <v>124</v>
      </c>
      <c r="E47" s="18" t="s">
        <v>125</v>
      </c>
      <c r="F47" s="18"/>
      <c r="G47" s="19"/>
    </row>
    <row r="48" customFormat="false" ht="15" hidden="false" customHeight="false" outlineLevel="0" collapsed="false">
      <c r="A48" s="20"/>
      <c r="B48" s="21"/>
      <c r="C48" s="21"/>
      <c r="D48" s="21" t="s">
        <v>53</v>
      </c>
      <c r="E48" s="21"/>
      <c r="F48" s="21"/>
      <c r="G48" s="22"/>
    </row>
    <row r="49" customFormat="false" ht="27.7" hidden="false" customHeight="false" outlineLevel="0" collapsed="false">
      <c r="A49" s="14" t="s">
        <v>135</v>
      </c>
      <c r="B49" s="15" t="s">
        <v>136</v>
      </c>
      <c r="C49" s="15" t="s">
        <v>47</v>
      </c>
      <c r="D49" s="15" t="s">
        <v>133</v>
      </c>
      <c r="E49" s="15" t="s">
        <v>137</v>
      </c>
      <c r="F49" s="15" t="s">
        <v>138</v>
      </c>
      <c r="G49" s="16" t="s">
        <v>11</v>
      </c>
    </row>
    <row r="50" customFormat="false" ht="27.7" hidden="false" customHeight="false" outlineLevel="0" collapsed="false">
      <c r="A50" s="20"/>
      <c r="B50" s="21"/>
      <c r="C50" s="21"/>
      <c r="D50" s="21" t="s">
        <v>43</v>
      </c>
      <c r="E50" s="21" t="s">
        <v>139</v>
      </c>
      <c r="F50" s="21"/>
      <c r="G50" s="22"/>
    </row>
    <row r="51" customFormat="false" ht="27.7" hidden="false" customHeight="false" outlineLevel="0" collapsed="false">
      <c r="A51" s="14" t="s">
        <v>140</v>
      </c>
      <c r="B51" s="15" t="s">
        <v>141</v>
      </c>
      <c r="C51" s="15" t="s">
        <v>142</v>
      </c>
      <c r="D51" s="15" t="s">
        <v>143</v>
      </c>
      <c r="E51" s="15" t="s">
        <v>144</v>
      </c>
      <c r="F51" s="15" t="s">
        <v>145</v>
      </c>
      <c r="G51" s="16" t="s">
        <v>11</v>
      </c>
    </row>
    <row r="52" customFormat="false" ht="27.7" hidden="false" customHeight="false" outlineLevel="0" collapsed="false">
      <c r="A52" s="9"/>
      <c r="D52" s="2" t="s">
        <v>103</v>
      </c>
      <c r="G52" s="10"/>
    </row>
    <row r="53" customFormat="false" ht="27.7" hidden="false" customHeight="false" outlineLevel="0" collapsed="false">
      <c r="A53" s="9"/>
      <c r="D53" s="2" t="s">
        <v>76</v>
      </c>
      <c r="G53" s="10"/>
    </row>
    <row r="54" customFormat="false" ht="15" hidden="false" customHeight="false" outlineLevel="0" collapsed="false">
      <c r="A54" s="9"/>
      <c r="D54" s="2" t="s">
        <v>146</v>
      </c>
      <c r="G54" s="10"/>
    </row>
    <row r="55" customFormat="false" ht="15" hidden="false" customHeight="false" outlineLevel="0" collapsed="false">
      <c r="A55" s="11"/>
      <c r="B55" s="12"/>
      <c r="C55" s="12"/>
      <c r="D55" s="12" t="s">
        <v>147</v>
      </c>
      <c r="E55" s="12"/>
      <c r="F55" s="12"/>
      <c r="G55" s="13"/>
    </row>
  </sheetData>
  <hyperlinks>
    <hyperlink ref="C2" r:id="rId1" display="Открыта любая страница сайта weblodj.ru"/>
    <hyperlink ref="C5" r:id="rId2" display="Открыта любая страница сайта weblodj.ru"/>
    <hyperlink ref="E6" r:id="rId3" display="2) URL страницы становится https://weblodj.ru/"/>
    <hyperlink ref="C7" r:id="rId4" display="Открыта главная страница weblodj.ru"/>
    <hyperlink ref="F10" r:id="rId5" display="URL = https://weblodj.ru/"/>
    <hyperlink ref="E11" r:id="rId6" display="2) URL страницы становится https://weblodj.ru/"/>
    <hyperlink ref="C12" r:id="rId7" display="Открыта главная страница weblodj.ru"/>
    <hyperlink ref="C15" r:id="rId8" display="Открыта главная страница weblodj.ru"/>
    <hyperlink ref="D30" r:id="rId9" display="2) Ввести email без символа @: 018fce8d28emailinbo.live"/>
    <hyperlink ref="C36" r:id="rId10" display="weblodj.ru"/>
    <hyperlink ref="C39" r:id="rId11" display="weblodj.ru"/>
    <hyperlink ref="E40" r:id="rId12" location="p" display="https://weblodj.ru/#p"/>
    <hyperlink ref="C41" r:id="rId13" display="weblodj.ru"/>
    <hyperlink ref="C44" r:id="rId14" display="weblodj.ru"/>
    <hyperlink ref="C46" r:id="rId15" display="weblodj.ru"/>
    <hyperlink ref="C49" r:id="rId16" display="weblodj.ru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7" activeCellId="0" sqref="F7"/>
    </sheetView>
  </sheetViews>
  <sheetFormatPr defaultColWidth="8.4765625" defaultRowHeight="15" zeroHeight="false" outlineLevelRow="0" outlineLevelCol="0"/>
  <cols>
    <col collapsed="false" customWidth="true" hidden="false" outlineLevel="0" max="1" min="1" style="2" width="15.72"/>
    <col collapsed="false" customWidth="true" hidden="false" outlineLevel="0" max="2" min="2" style="2" width="14"/>
    <col collapsed="false" customWidth="true" hidden="false" outlineLevel="0" max="3" min="3" style="2" width="24"/>
    <col collapsed="false" customWidth="true" hidden="false" outlineLevel="0" max="4" min="4" style="2" width="18"/>
    <col collapsed="false" customWidth="true" hidden="false" outlineLevel="0" max="5" min="5" style="2" width="15.43"/>
    <col collapsed="false" customWidth="true" hidden="false" outlineLevel="0" max="6" min="6" style="2" width="16"/>
    <col collapsed="false" customWidth="true" hidden="false" outlineLevel="0" max="7" min="7" style="2" width="23.15"/>
    <col collapsed="false" customWidth="true" hidden="false" outlineLevel="0" max="8" min="8" style="2" width="16"/>
    <col collapsed="false" customWidth="false" hidden="false" outlineLevel="0" max="16384" min="9" style="2" width="8.48"/>
  </cols>
  <sheetData>
    <row r="1" customFormat="false" ht="33.75" hidden="false" customHeight="true" outlineLevel="0" collapsed="false">
      <c r="A1" s="4" t="s">
        <v>148</v>
      </c>
      <c r="B1" s="4" t="s">
        <v>149</v>
      </c>
      <c r="C1" s="4" t="s">
        <v>150</v>
      </c>
      <c r="D1" s="5" t="s">
        <v>151</v>
      </c>
      <c r="E1" s="5" t="s">
        <v>21</v>
      </c>
      <c r="F1" s="5" t="s">
        <v>152</v>
      </c>
      <c r="G1" s="5" t="s">
        <v>153</v>
      </c>
      <c r="H1" s="4" t="s">
        <v>154</v>
      </c>
    </row>
    <row r="2" customFormat="false" ht="27.7" hidden="false" customHeight="false" outlineLevel="0" collapsed="false">
      <c r="A2" s="2" t="s">
        <v>155</v>
      </c>
      <c r="B2" s="2" t="s">
        <v>156</v>
      </c>
      <c r="C2" s="2" t="s">
        <v>157</v>
      </c>
      <c r="D2" s="2" t="s">
        <v>158</v>
      </c>
      <c r="E2" s="2" t="str">
        <f aca="false">HYPERLINK("#'Test Cases'.A2", "TC-001")</f>
        <v>TC-001</v>
      </c>
      <c r="F2" s="23" t="s">
        <v>1</v>
      </c>
      <c r="G2" s="2" t="s">
        <v>159</v>
      </c>
      <c r="J2" s="24"/>
    </row>
    <row r="3" customFormat="false" ht="27.7" hidden="false" customHeight="false" outlineLevel="0" collapsed="false">
      <c r="A3" s="2" t="s">
        <v>155</v>
      </c>
      <c r="B3" s="2" t="s">
        <v>156</v>
      </c>
      <c r="C3" s="2" t="s">
        <v>157</v>
      </c>
      <c r="D3" s="2" t="s">
        <v>158</v>
      </c>
      <c r="E3" s="2" t="str">
        <f aca="false">HYPERLINK("#'Test Cases'.A5", "TC-002")</f>
        <v>TC-002</v>
      </c>
      <c r="F3" s="23" t="s">
        <v>1</v>
      </c>
      <c r="G3" s="2" t="s">
        <v>160</v>
      </c>
    </row>
    <row r="4" customFormat="false" ht="27.7" hidden="false" customHeight="false" outlineLevel="0" collapsed="false">
      <c r="A4" s="2" t="s">
        <v>155</v>
      </c>
      <c r="B4" s="2" t="s">
        <v>156</v>
      </c>
      <c r="C4" s="2" t="s">
        <v>157</v>
      </c>
      <c r="D4" s="2" t="s">
        <v>158</v>
      </c>
      <c r="E4" s="2" t="str">
        <f aca="false">HYPERLINK("#'Test Cases'.A7", "TC-003")</f>
        <v>TC-003</v>
      </c>
      <c r="F4" s="23" t="s">
        <v>1</v>
      </c>
      <c r="G4" s="2" t="s">
        <v>161</v>
      </c>
    </row>
    <row r="5" customFormat="false" ht="27.7" hidden="false" customHeight="false" outlineLevel="0" collapsed="false">
      <c r="A5" s="2" t="s">
        <v>155</v>
      </c>
      <c r="B5" s="2" t="s">
        <v>156</v>
      </c>
      <c r="C5" s="2" t="s">
        <v>157</v>
      </c>
      <c r="D5" s="2" t="s">
        <v>158</v>
      </c>
      <c r="E5" s="2" t="str">
        <f aca="false">HYPERLINK("#'Test Cases'.A10", "TC-004")</f>
        <v>TC-004</v>
      </c>
      <c r="F5" s="23" t="s">
        <v>1</v>
      </c>
      <c r="G5" s="2" t="s">
        <v>162</v>
      </c>
    </row>
    <row r="6" customFormat="false" ht="40.95" hidden="false" customHeight="false" outlineLevel="0" collapsed="false">
      <c r="A6" s="2" t="s">
        <v>155</v>
      </c>
      <c r="B6" s="2" t="s">
        <v>156</v>
      </c>
      <c r="C6" s="2" t="s">
        <v>157</v>
      </c>
      <c r="D6" s="2" t="s">
        <v>158</v>
      </c>
      <c r="E6" s="2" t="str">
        <f aca="false">HYPERLINK("#'Test Cases'.A12", "TC-005")</f>
        <v>TC-005</v>
      </c>
      <c r="F6" s="23" t="s">
        <v>1</v>
      </c>
      <c r="G6" s="2" t="s">
        <v>163</v>
      </c>
    </row>
    <row r="7" customFormat="false" ht="27.7" hidden="false" customHeight="false" outlineLevel="0" collapsed="false">
      <c r="A7" s="2" t="s">
        <v>155</v>
      </c>
      <c r="B7" s="2" t="s">
        <v>156</v>
      </c>
      <c r="C7" s="2" t="s">
        <v>157</v>
      </c>
      <c r="D7" s="2" t="s">
        <v>158</v>
      </c>
      <c r="E7" s="2" t="str">
        <f aca="false">HYPERLINK("#'Test Cases'.A15", "TC-006")</f>
        <v>TC-006</v>
      </c>
      <c r="F7" s="25" t="s">
        <v>2</v>
      </c>
      <c r="G7" s="2" t="s">
        <v>164</v>
      </c>
      <c r="H7" s="2" t="str">
        <f aca="false">HYPERLINK("#'Bug Reports'.A3", "BR-002")</f>
        <v>BR-002</v>
      </c>
    </row>
    <row r="8" customFormat="false" ht="27.7" hidden="false" customHeight="false" outlineLevel="0" collapsed="false">
      <c r="A8" s="2" t="s">
        <v>155</v>
      </c>
      <c r="B8" s="2" t="s">
        <v>156</v>
      </c>
      <c r="C8" s="2" t="s">
        <v>157</v>
      </c>
      <c r="D8" s="2" t="s">
        <v>158</v>
      </c>
      <c r="E8" s="2" t="str">
        <f aca="false">HYPERLINK("#'Test Cases'.A17", "TC-007")</f>
        <v>TC-007</v>
      </c>
      <c r="F8" s="23" t="s">
        <v>1</v>
      </c>
      <c r="G8" s="2" t="s">
        <v>165</v>
      </c>
    </row>
    <row r="9" customFormat="false" ht="27.7" hidden="false" customHeight="false" outlineLevel="0" collapsed="false">
      <c r="A9" s="2" t="s">
        <v>155</v>
      </c>
      <c r="B9" s="2" t="s">
        <v>156</v>
      </c>
      <c r="C9" s="2" t="s">
        <v>157</v>
      </c>
      <c r="D9" s="2" t="s">
        <v>158</v>
      </c>
      <c r="E9" s="2" t="str">
        <f aca="false">HYPERLINK("#'Test Cases'.A25", "TC-008")</f>
        <v>TC-008</v>
      </c>
      <c r="F9" s="23" t="s">
        <v>1</v>
      </c>
      <c r="G9" s="2" t="s">
        <v>166</v>
      </c>
    </row>
    <row r="10" customFormat="false" ht="27.7" hidden="false" customHeight="false" outlineLevel="0" collapsed="false">
      <c r="A10" s="2" t="s">
        <v>155</v>
      </c>
      <c r="B10" s="2" t="s">
        <v>156</v>
      </c>
      <c r="C10" s="2" t="s">
        <v>157</v>
      </c>
      <c r="D10" s="2" t="s">
        <v>158</v>
      </c>
      <c r="E10" s="2" t="str">
        <f aca="false">HYPERLINK("#'Test Cases'.A29", "TC-009")</f>
        <v>TC-009</v>
      </c>
      <c r="F10" s="23" t="s">
        <v>1</v>
      </c>
      <c r="G10" s="2" t="s">
        <v>167</v>
      </c>
    </row>
    <row r="11" customFormat="false" ht="27.7" hidden="false" customHeight="false" outlineLevel="0" collapsed="false">
      <c r="A11" s="18" t="s">
        <v>155</v>
      </c>
      <c r="B11" s="18" t="s">
        <v>156</v>
      </c>
      <c r="C11" s="18" t="s">
        <v>157</v>
      </c>
      <c r="D11" s="18" t="s">
        <v>158</v>
      </c>
      <c r="E11" s="18" t="str">
        <f aca="false">HYPERLINK("#'Test Cases'.A36", "TC-010")</f>
        <v>TC-010</v>
      </c>
      <c r="F11" s="26" t="s">
        <v>1</v>
      </c>
      <c r="G11" s="18" t="s">
        <v>168</v>
      </c>
    </row>
    <row r="12" customFormat="false" ht="27.7" hidden="false" customHeight="false" outlineLevel="0" collapsed="false">
      <c r="A12" s="18" t="s">
        <v>155</v>
      </c>
      <c r="B12" s="18" t="s">
        <v>156</v>
      </c>
      <c r="C12" s="18" t="s">
        <v>157</v>
      </c>
      <c r="D12" s="18" t="s">
        <v>158</v>
      </c>
      <c r="E12" s="18" t="str">
        <f aca="false">HYPERLINK("#'Test Cases'.A39", "TC-011")</f>
        <v>TC-011</v>
      </c>
      <c r="F12" s="26" t="s">
        <v>1</v>
      </c>
      <c r="G12" s="18" t="s">
        <v>169</v>
      </c>
    </row>
    <row r="13" customFormat="false" ht="27.7" hidden="false" customHeight="false" outlineLevel="0" collapsed="false">
      <c r="A13" s="18" t="s">
        <v>155</v>
      </c>
      <c r="B13" s="18" t="s">
        <v>156</v>
      </c>
      <c r="C13" s="18" t="s">
        <v>157</v>
      </c>
      <c r="D13" s="18" t="s">
        <v>158</v>
      </c>
      <c r="E13" s="18" t="str">
        <f aca="false">HYPERLINK("#'Test Cases'.A41", "TC-012")</f>
        <v>TC-012</v>
      </c>
      <c r="F13" s="26" t="s">
        <v>1</v>
      </c>
      <c r="G13" s="18" t="s">
        <v>168</v>
      </c>
    </row>
    <row r="14" customFormat="false" ht="35.5" hidden="false" customHeight="false" outlineLevel="0" collapsed="false">
      <c r="A14" s="18" t="s">
        <v>155</v>
      </c>
      <c r="B14" s="18" t="s">
        <v>156</v>
      </c>
      <c r="C14" s="18" t="s">
        <v>157</v>
      </c>
      <c r="D14" s="18" t="s">
        <v>158</v>
      </c>
      <c r="E14" s="18" t="str">
        <f aca="false">HYPERLINK("#'Test Cases'.A44", "TC-013")</f>
        <v>TC-013</v>
      </c>
      <c r="F14" s="26" t="s">
        <v>1</v>
      </c>
      <c r="G14" s="27" t="s">
        <v>170</v>
      </c>
    </row>
    <row r="15" customFormat="false" ht="27.7" hidden="false" customHeight="false" outlineLevel="0" collapsed="false">
      <c r="A15" s="18" t="s">
        <v>155</v>
      </c>
      <c r="B15" s="18" t="s">
        <v>156</v>
      </c>
      <c r="C15" s="18" t="s">
        <v>157</v>
      </c>
      <c r="D15" s="18" t="s">
        <v>158</v>
      </c>
      <c r="E15" s="18" t="str">
        <f aca="false">HYPERLINK("#'Test Cases'.A46", "TC-014")</f>
        <v>TC-014</v>
      </c>
      <c r="F15" s="26" t="s">
        <v>1</v>
      </c>
      <c r="G15" s="18" t="s">
        <v>168</v>
      </c>
    </row>
    <row r="16" customFormat="false" ht="27.7" hidden="false" customHeight="false" outlineLevel="0" collapsed="false">
      <c r="A16" s="18" t="s">
        <v>155</v>
      </c>
      <c r="B16" s="18" t="s">
        <v>156</v>
      </c>
      <c r="C16" s="18" t="s">
        <v>157</v>
      </c>
      <c r="D16" s="18" t="s">
        <v>158</v>
      </c>
      <c r="E16" s="18" t="str">
        <f aca="false">HYPERLINK("#'Test Cases'.A51", "TC-015")</f>
        <v>TC-015</v>
      </c>
      <c r="F16" s="26" t="s">
        <v>1</v>
      </c>
      <c r="G16" s="18" t="s">
        <v>171</v>
      </c>
    </row>
    <row r="17" customFormat="false" ht="27.7" hidden="false" customHeight="false" outlineLevel="0" collapsed="false">
      <c r="A17" s="18" t="s">
        <v>155</v>
      </c>
      <c r="B17" s="18" t="s">
        <v>156</v>
      </c>
      <c r="C17" s="18" t="s">
        <v>157</v>
      </c>
      <c r="D17" s="18" t="s">
        <v>158</v>
      </c>
      <c r="E17" s="18" t="str">
        <f aca="false">HYPERLINK("#'Test Cases'.A51", "TC-016")</f>
        <v>TC-016</v>
      </c>
      <c r="F17" s="28" t="s">
        <v>2</v>
      </c>
      <c r="G17" s="18" t="s">
        <v>172</v>
      </c>
      <c r="H17" s="18" t="str">
        <f aca="false">HYPERLINK("#'Bug Reports'.A2", "BR-001")</f>
        <v>BR-001</v>
      </c>
    </row>
  </sheetData>
  <dataValidations count="1">
    <dataValidation allowBlank="true" errorStyle="stop" operator="between" showDropDown="false" showErrorMessage="true" showInputMessage="true" sqref="F18:F977" type="list">
      <formula1>resultoptions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pane xSplit="0" ySplit="1" topLeftCell="A2" activePane="bottomLeft" state="frozen"/>
      <selection pane="topLeft" activeCell="F1" activeCellId="0" sqref="F1"/>
      <selection pane="bottomLeft" activeCell="M7" activeCellId="0" sqref="M7"/>
    </sheetView>
  </sheetViews>
  <sheetFormatPr defaultColWidth="8.4765625" defaultRowHeight="15" zeroHeight="false" outlineLevelRow="0" outlineLevelCol="0"/>
  <cols>
    <col collapsed="false" customWidth="true" hidden="false" outlineLevel="0" max="1" min="1" style="29" width="14.29"/>
    <col collapsed="false" customWidth="true" hidden="false" outlineLevel="0" max="2" min="2" style="29" width="28.57"/>
    <col collapsed="false" customWidth="true" hidden="false" outlineLevel="0" max="3" min="3" style="29" width="19"/>
    <col collapsed="false" customWidth="true" hidden="false" outlineLevel="0" max="4" min="4" style="29" width="16.57"/>
    <col collapsed="false" customWidth="true" hidden="false" outlineLevel="0" max="6" min="5" style="29" width="26"/>
    <col collapsed="false" customWidth="true" hidden="false" outlineLevel="0" max="7" min="7" style="29" width="32.72"/>
    <col collapsed="false" customWidth="true" hidden="false" outlineLevel="0" max="8" min="8" style="29" width="30.29"/>
    <col collapsed="false" customWidth="true" hidden="false" outlineLevel="0" max="10" min="9" style="29" width="14.29"/>
    <col collapsed="false" customWidth="true" hidden="false" outlineLevel="0" max="11" min="11" style="29" width="22"/>
    <col collapsed="false" customWidth="true" hidden="false" outlineLevel="0" max="12" min="12" style="29" width="24.29"/>
    <col collapsed="false" customWidth="true" hidden="false" outlineLevel="0" max="13" min="13" style="29" width="21.86"/>
    <col collapsed="false" customWidth="false" hidden="false" outlineLevel="0" max="16384" min="14" style="29" width="8.48"/>
  </cols>
  <sheetData>
    <row r="1" customFormat="false" ht="33.75" hidden="false" customHeight="true" outlineLevel="0" collapsed="false">
      <c r="A1" s="4" t="s">
        <v>154</v>
      </c>
      <c r="B1" s="4" t="s">
        <v>22</v>
      </c>
      <c r="C1" s="4" t="s">
        <v>173</v>
      </c>
      <c r="D1" s="5" t="s">
        <v>148</v>
      </c>
      <c r="E1" s="5" t="s">
        <v>23</v>
      </c>
      <c r="F1" s="5" t="s">
        <v>174</v>
      </c>
      <c r="G1" s="5" t="s">
        <v>25</v>
      </c>
      <c r="H1" s="4" t="s">
        <v>175</v>
      </c>
      <c r="I1" s="4" t="s">
        <v>176</v>
      </c>
      <c r="J1" s="4" t="s">
        <v>27</v>
      </c>
      <c r="K1" s="4" t="s">
        <v>177</v>
      </c>
      <c r="L1" s="5" t="s">
        <v>178</v>
      </c>
      <c r="M1" s="5" t="s">
        <v>179</v>
      </c>
    </row>
    <row r="2" customFormat="false" ht="44.55" hidden="false" customHeight="false" outlineLevel="0" collapsed="false">
      <c r="A2" s="30" t="s">
        <v>180</v>
      </c>
      <c r="B2" s="30" t="s">
        <v>181</v>
      </c>
      <c r="C2" s="31" t="str">
        <f aca="false">HYPERLINK("#'Test Cases'.A51", "TC-013")</f>
        <v>TC-013</v>
      </c>
      <c r="D2" s="31" t="str">
        <f aca="false">HYPERLINK("#'Test Run'!A17", "TR-001")</f>
        <v>TR-001</v>
      </c>
      <c r="E2" s="30" t="s">
        <v>182</v>
      </c>
      <c r="F2" s="30" t="s">
        <v>183</v>
      </c>
      <c r="G2" s="30" t="s">
        <v>184</v>
      </c>
      <c r="H2" s="30" t="s">
        <v>185</v>
      </c>
      <c r="I2" s="30" t="s">
        <v>8</v>
      </c>
      <c r="J2" s="30" t="s">
        <v>12</v>
      </c>
      <c r="K2" s="30" t="s">
        <v>186</v>
      </c>
      <c r="L2" s="30" t="s">
        <v>187</v>
      </c>
      <c r="M2" s="30" t="s">
        <v>156</v>
      </c>
    </row>
    <row r="3" customFormat="false" ht="27.7" hidden="false" customHeight="false" outlineLevel="0" collapsed="false">
      <c r="A3" s="32" t="s">
        <v>188</v>
      </c>
      <c r="B3" s="33" t="s">
        <v>164</v>
      </c>
      <c r="C3" s="33" t="str">
        <f aca="false">HYPERLINK("#'Test Cases'.A15", "TC-006")</f>
        <v>TC-006</v>
      </c>
      <c r="D3" s="33" t="str">
        <f aca="false">HYPERLINK("#'Test Run'!A7", "TR-001")</f>
        <v>TR-001</v>
      </c>
      <c r="E3" s="33" t="s">
        <v>47</v>
      </c>
      <c r="F3" s="33" t="s">
        <v>189</v>
      </c>
      <c r="G3" s="33" t="s">
        <v>190</v>
      </c>
      <c r="H3" s="33" t="s">
        <v>191</v>
      </c>
      <c r="I3" s="33" t="s">
        <v>7</v>
      </c>
      <c r="J3" s="33" t="s">
        <v>11</v>
      </c>
      <c r="K3" s="33" t="s">
        <v>186</v>
      </c>
      <c r="L3" s="33" t="s">
        <v>192</v>
      </c>
      <c r="M3" s="34" t="s">
        <v>156</v>
      </c>
    </row>
    <row r="4" customFormat="false" ht="27.7" hidden="false" customHeight="false" outlineLevel="0" collapsed="false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</row>
  </sheetData>
  <dataValidations count="2">
    <dataValidation allowBlank="true" errorStyle="stop" operator="between" showDropDown="false" showErrorMessage="true" showInputMessage="true" sqref="I9:I992" type="list">
      <formula1>severityoptions</formula1>
      <formula2>0</formula2>
    </dataValidation>
    <dataValidation allowBlank="true" errorStyle="stop" operator="between" showDropDown="false" showErrorMessage="true" showInputMessage="true" sqref="J9:J992" type="list">
      <formula1>priorityoptions</formula1>
      <formula2>0</formula2>
    </dataValidation>
  </dataValidations>
  <hyperlinks>
    <hyperlink ref="F2" r:id="rId1" display="018fce8d2emailinbo.live"/>
    <hyperlink ref="L2" r:id="rId2" display="https://drive.google.com/file/d/1LOQuBZp2RuBKk9KgcDMRggfYOpbk7y5D/view?usp=sharing"/>
    <hyperlink ref="E3" r:id="rId3" display="Открыта главная страница weblodj.ru"/>
    <hyperlink ref="L3" r:id="rId4" display="http://icecream.me/7745f27da61aae366510a99dd529df0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2025-10-01T10:01:41Z</dcterms:created>
  <dc:creator>openpyxl</dc:creator>
  <dc:description/>
  <dc:language>en-US</dc:language>
  <cp:lastModifiedBy/>
  <dcterms:modified xsi:type="dcterms:W3CDTF">2026-06-02T18:12:56Z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